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osmi\Downloads\"/>
    </mc:Choice>
  </mc:AlternateContent>
  <xr:revisionPtr revIDLastSave="0" documentId="13_ncr:1_{5337FBA1-1ABA-4448-B9FD-AF047A283BA2}" xr6:coauthVersionLast="47" xr6:coauthVersionMax="47" xr10:uidLastSave="{00000000-0000-0000-0000-000000000000}"/>
  <bookViews>
    <workbookView showHorizontalScroll="0" showVerticalScroll="0" xWindow="-110" yWindow="-110" windowWidth="19420" windowHeight="10300" tabRatio="742" activeTab="5" xr2:uid="{00000000-000D-0000-FFFF-FFFF00000000}"/>
  </bookViews>
  <sheets>
    <sheet name="INTRO" sheetId="14" r:id="rId1"/>
    <sheet name="DADOS BRUTOS" sheetId="13" r:id="rId2"/>
    <sheet name="LIMPEZA E PREPARAÇÃO" sheetId="7" r:id="rId3"/>
    <sheet name="Dados Tratados" sheetId="10" r:id="rId4"/>
    <sheet name="TABELAS DINÂMICAS" sheetId="11" r:id="rId5"/>
    <sheet name="DASH" sheetId="12" r:id="rId6"/>
  </sheets>
  <definedNames>
    <definedName name="_01_10_2017">'Dados Tratados'!$E$3:$E$497</definedName>
    <definedName name="Alice">'Dados Tratados'!$C$3:$C$497</definedName>
    <definedName name="Books">'Dados Tratados'!$B$3:$B$497</definedName>
    <definedName name="Check_Sum" localSheetId="2">IFERROR(SUM(_xlfn.UNICODE(RIGHT('LIMPEZA E PREPARAÇÃO'!A$2:A$497,5)))+SUM(_xlfn.UNICODE(MID('LIMPEZA E PREPARAÇÃO'!A$2:A$497,12,1)))+SUM(LEN('LIMPEZA E PREPARAÇÃO'!A$2:A$497)),0)</definedName>
    <definedName name="Check_Sum_Short">IFERROR(SUM(_xlfn.UNICODE('LIMPEZA E PREPARAÇÃO'!A$2:A$497))+SUM(LEN('LIMPEZA E PREPARAÇÃO'!A$2:A$497)),0)</definedName>
    <definedName name="Normal_Sum" localSheetId="2">IFERROR(SUM('LIMPEZA E PREPARAÇÃO'!A$2:A$497),0)</definedName>
    <definedName name="SegmentaçãodeDados_PRODUCT">#N/A</definedName>
    <definedName name="SegmentaçãodeDados_SALES_PERSON">#N/A</definedName>
  </definedNames>
  <calcPr calcId="191029"/>
  <pivotCaches>
    <pivotCache cacheId="0" r:id="rId7"/>
  </pivotCaches>
  <fileRecoveryPr autoRecover="0"/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3" l="1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Q17" i="11"/>
  <c r="Q16" i="11"/>
  <c r="T39" i="11"/>
  <c r="F478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2" i="7"/>
  <c r="C3" i="7"/>
  <c r="G23" i="11"/>
  <c r="G19" i="11"/>
  <c r="G3" i="7" l="1"/>
  <c r="H3" i="7"/>
  <c r="H4" i="7"/>
  <c r="G4" i="7"/>
  <c r="G5" i="7"/>
  <c r="H5" i="7"/>
  <c r="H6" i="7"/>
  <c r="G6" i="7"/>
  <c r="H7" i="7"/>
  <c r="G7" i="7"/>
  <c r="H8" i="7"/>
  <c r="G8" i="7"/>
  <c r="H9" i="7"/>
  <c r="G9" i="7"/>
  <c r="G10" i="7"/>
  <c r="H10" i="7"/>
  <c r="H11" i="7"/>
  <c r="G11" i="7"/>
  <c r="H12" i="7"/>
  <c r="G12" i="7"/>
  <c r="G13" i="7"/>
  <c r="H13" i="7"/>
  <c r="G14" i="7"/>
  <c r="H14" i="7"/>
  <c r="H15" i="7"/>
  <c r="G15" i="7"/>
  <c r="H16" i="7"/>
  <c r="G16" i="7"/>
  <c r="G17" i="7"/>
  <c r="H17" i="7"/>
  <c r="G18" i="7"/>
  <c r="H18" i="7"/>
  <c r="H19" i="7"/>
  <c r="G19" i="7"/>
  <c r="H20" i="7"/>
  <c r="G20" i="7"/>
  <c r="H21" i="7"/>
  <c r="G21" i="7"/>
  <c r="H22" i="7"/>
  <c r="G22" i="7"/>
  <c r="G23" i="7"/>
  <c r="H23" i="7"/>
  <c r="H24" i="7"/>
  <c r="G24" i="7"/>
  <c r="H25" i="7"/>
  <c r="G25" i="7"/>
  <c r="G26" i="7"/>
  <c r="H26" i="7"/>
  <c r="G27" i="7"/>
  <c r="H27" i="7"/>
  <c r="H28" i="7"/>
  <c r="G28" i="7"/>
  <c r="G29" i="7"/>
  <c r="H29" i="7"/>
  <c r="H30" i="7"/>
  <c r="G30" i="7"/>
  <c r="G31" i="7"/>
  <c r="H31" i="7"/>
  <c r="G32" i="7"/>
  <c r="H32" i="7"/>
  <c r="H33" i="7"/>
  <c r="G33" i="7"/>
  <c r="H34" i="7"/>
  <c r="G34" i="7"/>
  <c r="H35" i="7"/>
  <c r="G35" i="7"/>
  <c r="H36" i="7"/>
  <c r="G36" i="7"/>
  <c r="G37" i="7"/>
  <c r="H37" i="7"/>
  <c r="G38" i="7"/>
  <c r="H38" i="7"/>
  <c r="H39" i="7"/>
  <c r="G39" i="7"/>
  <c r="H40" i="7"/>
  <c r="G40" i="7"/>
  <c r="H41" i="7"/>
  <c r="G41" i="7"/>
  <c r="H42" i="7"/>
  <c r="G42" i="7"/>
  <c r="H43" i="7"/>
  <c r="G43" i="7"/>
  <c r="G44" i="7"/>
  <c r="H44" i="7"/>
  <c r="H45" i="7"/>
  <c r="G45" i="7"/>
  <c r="G46" i="7"/>
  <c r="H46" i="7"/>
  <c r="H47" i="7"/>
  <c r="G47" i="7"/>
  <c r="H48" i="7"/>
  <c r="G48" i="7"/>
  <c r="H49" i="7"/>
  <c r="G49" i="7"/>
  <c r="H50" i="7"/>
  <c r="G50" i="7"/>
  <c r="H51" i="7"/>
  <c r="G51" i="7"/>
  <c r="H52" i="7"/>
  <c r="G52" i="7"/>
  <c r="H53" i="7"/>
  <c r="G53" i="7"/>
  <c r="G54" i="7"/>
  <c r="H54" i="7"/>
  <c r="H55" i="7"/>
  <c r="G55" i="7"/>
  <c r="G56" i="7"/>
  <c r="H56" i="7"/>
  <c r="G57" i="7"/>
  <c r="H57" i="7"/>
  <c r="G58" i="7"/>
  <c r="H58" i="7"/>
  <c r="G59" i="7"/>
  <c r="H59" i="7"/>
  <c r="H60" i="7"/>
  <c r="G60" i="7"/>
  <c r="G61" i="7"/>
  <c r="H61" i="7"/>
  <c r="H62" i="7"/>
  <c r="G62" i="7"/>
  <c r="H63" i="7"/>
  <c r="G63" i="7"/>
  <c r="H64" i="7"/>
  <c r="G64" i="7"/>
  <c r="H65" i="7"/>
  <c r="G65" i="7"/>
  <c r="H66" i="7"/>
  <c r="G66" i="7"/>
  <c r="G67" i="7"/>
  <c r="H67" i="7"/>
  <c r="H68" i="7"/>
  <c r="G68" i="7"/>
  <c r="H69" i="7"/>
  <c r="G69" i="7"/>
  <c r="H70" i="7"/>
  <c r="G70" i="7"/>
  <c r="G71" i="7"/>
  <c r="H71" i="7"/>
  <c r="H72" i="7"/>
  <c r="G72" i="7"/>
  <c r="G73" i="7"/>
  <c r="H73" i="7"/>
  <c r="G74" i="7"/>
  <c r="H74" i="7"/>
  <c r="H75" i="7"/>
  <c r="G75" i="7"/>
  <c r="H76" i="7"/>
  <c r="G76" i="7"/>
  <c r="H77" i="7"/>
  <c r="G77" i="7"/>
  <c r="H78" i="7"/>
  <c r="G78" i="7"/>
  <c r="H79" i="7"/>
  <c r="G79" i="7"/>
  <c r="H80" i="7"/>
  <c r="G80" i="7"/>
  <c r="H81" i="7"/>
  <c r="G81" i="7"/>
  <c r="H82" i="7"/>
  <c r="G82" i="7"/>
  <c r="H83" i="7"/>
  <c r="G83" i="7"/>
  <c r="G84" i="7"/>
  <c r="H84" i="7"/>
  <c r="G85" i="7"/>
  <c r="H85" i="7"/>
  <c r="H86" i="7"/>
  <c r="G86" i="7"/>
  <c r="G87" i="7"/>
  <c r="H87" i="7"/>
  <c r="G88" i="7"/>
  <c r="H88" i="7"/>
  <c r="G89" i="7"/>
  <c r="H89" i="7"/>
  <c r="H90" i="7"/>
  <c r="G90" i="7"/>
  <c r="H91" i="7"/>
  <c r="G91" i="7"/>
  <c r="H92" i="7"/>
  <c r="G92" i="7"/>
  <c r="H93" i="7"/>
  <c r="G93" i="7"/>
  <c r="H94" i="7"/>
  <c r="G94" i="7"/>
  <c r="G95" i="7"/>
  <c r="H95" i="7"/>
  <c r="H96" i="7"/>
  <c r="G96" i="7"/>
  <c r="H97" i="7"/>
  <c r="G97" i="7"/>
  <c r="G98" i="7"/>
  <c r="H98" i="7"/>
  <c r="H99" i="7"/>
  <c r="G99" i="7"/>
  <c r="G100" i="7"/>
  <c r="H100" i="7"/>
  <c r="G101" i="7"/>
  <c r="H101" i="7"/>
  <c r="G102" i="7"/>
  <c r="H102" i="7"/>
  <c r="G103" i="7"/>
  <c r="H103" i="7"/>
  <c r="G104" i="7"/>
  <c r="H104" i="7"/>
  <c r="G105" i="7"/>
  <c r="H105" i="7"/>
  <c r="H106" i="7"/>
  <c r="G106" i="7"/>
  <c r="G107" i="7"/>
  <c r="H107" i="7"/>
  <c r="H108" i="7"/>
  <c r="G108" i="7"/>
  <c r="G109" i="7"/>
  <c r="H109" i="7"/>
  <c r="H110" i="7"/>
  <c r="G110" i="7"/>
  <c r="H111" i="7"/>
  <c r="G111" i="7"/>
  <c r="G112" i="7"/>
  <c r="H112" i="7"/>
  <c r="G113" i="7"/>
  <c r="H113" i="7"/>
  <c r="G114" i="7"/>
  <c r="H114" i="7"/>
  <c r="H115" i="7"/>
  <c r="G115" i="7"/>
  <c r="H116" i="7"/>
  <c r="G116" i="7"/>
  <c r="H117" i="7"/>
  <c r="G117" i="7"/>
  <c r="G118" i="7"/>
  <c r="H118" i="7"/>
  <c r="H119" i="7"/>
  <c r="G119" i="7"/>
  <c r="H120" i="7"/>
  <c r="G120" i="7"/>
  <c r="H121" i="7"/>
  <c r="G121" i="7"/>
  <c r="H122" i="7"/>
  <c r="G122" i="7"/>
  <c r="H123" i="7"/>
  <c r="G123" i="7"/>
  <c r="G124" i="7"/>
  <c r="H124" i="7"/>
  <c r="G125" i="7"/>
  <c r="H125" i="7"/>
  <c r="G126" i="7"/>
  <c r="H126" i="7"/>
  <c r="H127" i="7"/>
  <c r="G127" i="7"/>
  <c r="G128" i="7"/>
  <c r="H128" i="7"/>
  <c r="H129" i="7"/>
  <c r="G129" i="7"/>
  <c r="G130" i="7"/>
  <c r="H130" i="7"/>
  <c r="H131" i="7"/>
  <c r="G131" i="7"/>
  <c r="H132" i="7"/>
  <c r="G132" i="7"/>
  <c r="H133" i="7"/>
  <c r="G133" i="7"/>
  <c r="H134" i="7"/>
  <c r="G134" i="7"/>
  <c r="G135" i="7"/>
  <c r="H135" i="7"/>
  <c r="G136" i="7"/>
  <c r="H136" i="7"/>
  <c r="G137" i="7"/>
  <c r="H137" i="7"/>
  <c r="H138" i="7"/>
  <c r="G138" i="7"/>
  <c r="H139" i="7"/>
  <c r="G139" i="7"/>
  <c r="H140" i="7"/>
  <c r="G140" i="7"/>
  <c r="G141" i="7"/>
  <c r="H141" i="7"/>
  <c r="H142" i="7"/>
  <c r="G142" i="7"/>
  <c r="H143" i="7"/>
  <c r="G143" i="7"/>
  <c r="G144" i="7"/>
  <c r="H144" i="7"/>
  <c r="G145" i="7"/>
  <c r="H145" i="7"/>
  <c r="G146" i="7"/>
  <c r="H146" i="7"/>
  <c r="H147" i="7"/>
  <c r="G147" i="7"/>
  <c r="H148" i="7"/>
  <c r="G148" i="7"/>
  <c r="H149" i="7"/>
  <c r="G149" i="7"/>
  <c r="H150" i="7"/>
  <c r="G150" i="7"/>
  <c r="H151" i="7"/>
  <c r="G151" i="7"/>
  <c r="H152" i="7"/>
  <c r="G152" i="7"/>
  <c r="G153" i="7"/>
  <c r="H153" i="7"/>
  <c r="G154" i="7"/>
  <c r="H154" i="7"/>
  <c r="H155" i="7"/>
  <c r="G155" i="7"/>
  <c r="G156" i="7"/>
  <c r="H156" i="7"/>
  <c r="H157" i="7"/>
  <c r="G157" i="7"/>
  <c r="G158" i="7"/>
  <c r="H158" i="7"/>
  <c r="G159" i="7"/>
  <c r="H159" i="7"/>
  <c r="H160" i="7"/>
  <c r="G160" i="7"/>
  <c r="H161" i="7"/>
  <c r="G161" i="7"/>
  <c r="G162" i="7"/>
  <c r="H162" i="7"/>
  <c r="H163" i="7"/>
  <c r="G163" i="7"/>
  <c r="G164" i="7"/>
  <c r="H164" i="7"/>
  <c r="H165" i="7"/>
  <c r="G165" i="7"/>
  <c r="G166" i="7"/>
  <c r="H166" i="7"/>
  <c r="H167" i="7"/>
  <c r="G167" i="7"/>
  <c r="H168" i="7"/>
  <c r="G168" i="7"/>
  <c r="H169" i="7"/>
  <c r="G169" i="7"/>
  <c r="H170" i="7"/>
  <c r="G170" i="7"/>
  <c r="H171" i="7"/>
  <c r="G171" i="7"/>
  <c r="G172" i="7"/>
  <c r="H172" i="7"/>
  <c r="H173" i="7"/>
  <c r="G173" i="7"/>
  <c r="G174" i="7"/>
  <c r="H174" i="7"/>
  <c r="H175" i="7"/>
  <c r="G175" i="7"/>
  <c r="G176" i="7"/>
  <c r="H176" i="7"/>
  <c r="H177" i="7"/>
  <c r="G177" i="7"/>
  <c r="H178" i="7"/>
  <c r="G178" i="7"/>
  <c r="G179" i="7"/>
  <c r="H179" i="7"/>
  <c r="H180" i="7"/>
  <c r="G180" i="7"/>
  <c r="H181" i="7"/>
  <c r="G181" i="7"/>
  <c r="G182" i="7"/>
  <c r="H182" i="7"/>
  <c r="G183" i="7"/>
  <c r="H183" i="7"/>
  <c r="H184" i="7"/>
  <c r="G184" i="7"/>
  <c r="G185" i="7"/>
  <c r="H185" i="7"/>
  <c r="H186" i="7"/>
  <c r="G186" i="7"/>
  <c r="G187" i="7"/>
  <c r="H187" i="7"/>
  <c r="G188" i="7"/>
  <c r="H188" i="7"/>
  <c r="H189" i="7"/>
  <c r="G189" i="7"/>
  <c r="H190" i="7"/>
  <c r="G190" i="7"/>
  <c r="G191" i="7"/>
  <c r="H191" i="7"/>
  <c r="G192" i="7"/>
  <c r="H192" i="7"/>
  <c r="H193" i="7"/>
  <c r="G193" i="7"/>
  <c r="G194" i="7"/>
  <c r="H194" i="7"/>
  <c r="H195" i="7"/>
  <c r="G195" i="7"/>
  <c r="H196" i="7"/>
  <c r="G196" i="7"/>
  <c r="G197" i="7"/>
  <c r="H197" i="7"/>
  <c r="G198" i="7"/>
  <c r="H198" i="7"/>
  <c r="G199" i="7"/>
  <c r="H199" i="7"/>
  <c r="H200" i="7"/>
  <c r="G200" i="7"/>
  <c r="H201" i="7"/>
  <c r="G201" i="7"/>
  <c r="G202" i="7"/>
  <c r="H202" i="7"/>
  <c r="G203" i="7"/>
  <c r="H203" i="7"/>
  <c r="H204" i="7"/>
  <c r="G204" i="7"/>
  <c r="H205" i="7"/>
  <c r="G205" i="7"/>
  <c r="G206" i="7"/>
  <c r="H206" i="7"/>
  <c r="G207" i="7"/>
  <c r="H207" i="7"/>
  <c r="G208" i="7"/>
  <c r="H208" i="7"/>
  <c r="G209" i="7"/>
  <c r="H209" i="7"/>
  <c r="H210" i="7"/>
  <c r="G210" i="7"/>
  <c r="G211" i="7"/>
  <c r="H211" i="7"/>
  <c r="G212" i="7"/>
  <c r="H212" i="7"/>
  <c r="H213" i="7"/>
  <c r="G213" i="7"/>
  <c r="H214" i="7"/>
  <c r="G214" i="7"/>
  <c r="H215" i="7"/>
  <c r="G215" i="7"/>
  <c r="H216" i="7"/>
  <c r="G216" i="7"/>
  <c r="G217" i="7"/>
  <c r="H217" i="7"/>
  <c r="H218" i="7"/>
  <c r="G218" i="7"/>
  <c r="G219" i="7"/>
  <c r="H219" i="7"/>
  <c r="G220" i="7"/>
  <c r="H220" i="7"/>
  <c r="G221" i="7"/>
  <c r="H221" i="7"/>
  <c r="H222" i="7"/>
  <c r="G222" i="7"/>
  <c r="G223" i="7"/>
  <c r="H223" i="7"/>
  <c r="H224" i="7"/>
  <c r="G224" i="7"/>
  <c r="H225" i="7"/>
  <c r="G225" i="7"/>
  <c r="H226" i="7"/>
  <c r="G226" i="7"/>
  <c r="H227" i="7"/>
  <c r="G227" i="7"/>
  <c r="H228" i="7"/>
  <c r="G228" i="7"/>
  <c r="G229" i="7"/>
  <c r="H229" i="7"/>
  <c r="G230" i="7"/>
  <c r="H230" i="7"/>
  <c r="G231" i="7"/>
  <c r="H231" i="7"/>
  <c r="G232" i="7"/>
  <c r="H232" i="7"/>
  <c r="H233" i="7"/>
  <c r="G233" i="7"/>
  <c r="G234" i="7"/>
  <c r="H234" i="7"/>
  <c r="H235" i="7"/>
  <c r="G235" i="7"/>
  <c r="G236" i="7"/>
  <c r="H236" i="7"/>
  <c r="G237" i="7"/>
  <c r="H237" i="7"/>
  <c r="G238" i="7"/>
  <c r="H238" i="7"/>
  <c r="G239" i="7"/>
  <c r="H239" i="7"/>
  <c r="G240" i="7"/>
  <c r="H240" i="7"/>
  <c r="H241" i="7"/>
  <c r="G241" i="7"/>
  <c r="G242" i="7"/>
  <c r="H242" i="7"/>
  <c r="G243" i="7"/>
  <c r="H243" i="7"/>
  <c r="G244" i="7"/>
  <c r="H244" i="7"/>
  <c r="G245" i="7"/>
  <c r="H245" i="7"/>
  <c r="G246" i="7"/>
  <c r="H246" i="7"/>
  <c r="G247" i="7"/>
  <c r="H247" i="7"/>
  <c r="G248" i="7"/>
  <c r="H248" i="7"/>
  <c r="G249" i="7"/>
  <c r="H249" i="7"/>
  <c r="G250" i="7"/>
  <c r="H250" i="7"/>
  <c r="G251" i="7"/>
  <c r="H251" i="7"/>
  <c r="G252" i="7"/>
  <c r="H252" i="7"/>
  <c r="G253" i="7"/>
  <c r="H253" i="7"/>
  <c r="G254" i="7"/>
  <c r="H254" i="7"/>
  <c r="G255" i="7"/>
  <c r="H255" i="7"/>
  <c r="G256" i="7"/>
  <c r="H256" i="7"/>
  <c r="G257" i="7"/>
  <c r="H257" i="7"/>
  <c r="G258" i="7"/>
  <c r="H258" i="7"/>
  <c r="G259" i="7"/>
  <c r="H259" i="7"/>
  <c r="G260" i="7"/>
  <c r="H260" i="7"/>
  <c r="G261" i="7"/>
  <c r="H261" i="7"/>
  <c r="G262" i="7"/>
  <c r="H262" i="7"/>
  <c r="G263" i="7"/>
  <c r="H263" i="7"/>
  <c r="G264" i="7"/>
  <c r="H264" i="7"/>
  <c r="G265" i="7"/>
  <c r="H265" i="7"/>
  <c r="G266" i="7"/>
  <c r="H266" i="7"/>
  <c r="G267" i="7"/>
  <c r="H267" i="7"/>
  <c r="G268" i="7"/>
  <c r="H268" i="7"/>
  <c r="G269" i="7"/>
  <c r="H269" i="7"/>
  <c r="G270" i="7"/>
  <c r="H270" i="7"/>
  <c r="G271" i="7"/>
  <c r="H271" i="7"/>
  <c r="G272" i="7"/>
  <c r="H272" i="7"/>
  <c r="G273" i="7"/>
  <c r="H273" i="7"/>
  <c r="G274" i="7"/>
  <c r="H274" i="7"/>
  <c r="G275" i="7"/>
  <c r="H275" i="7"/>
  <c r="G276" i="7"/>
  <c r="H276" i="7"/>
  <c r="G277" i="7"/>
  <c r="H277" i="7"/>
  <c r="G278" i="7"/>
  <c r="H278" i="7"/>
  <c r="G279" i="7"/>
  <c r="H279" i="7"/>
  <c r="G280" i="7"/>
  <c r="H280" i="7"/>
  <c r="G281" i="7"/>
  <c r="H281" i="7"/>
  <c r="G282" i="7"/>
  <c r="H282" i="7"/>
  <c r="G283" i="7"/>
  <c r="H283" i="7"/>
  <c r="G284" i="7"/>
  <c r="H284" i="7"/>
  <c r="G285" i="7"/>
  <c r="H285" i="7"/>
  <c r="G286" i="7"/>
  <c r="H286" i="7"/>
  <c r="G287" i="7"/>
  <c r="H287" i="7"/>
  <c r="G288" i="7"/>
  <c r="H288" i="7"/>
  <c r="G289" i="7"/>
  <c r="H289" i="7"/>
  <c r="G290" i="7"/>
  <c r="H290" i="7"/>
  <c r="G291" i="7"/>
  <c r="H291" i="7"/>
  <c r="G292" i="7"/>
  <c r="H292" i="7"/>
  <c r="G293" i="7"/>
  <c r="H293" i="7"/>
  <c r="G294" i="7"/>
  <c r="H294" i="7"/>
  <c r="G295" i="7"/>
  <c r="H295" i="7"/>
  <c r="G296" i="7"/>
  <c r="H296" i="7"/>
  <c r="G297" i="7"/>
  <c r="H297" i="7"/>
  <c r="G298" i="7"/>
  <c r="H298" i="7"/>
  <c r="G299" i="7"/>
  <c r="H299" i="7"/>
  <c r="G300" i="7"/>
  <c r="H300" i="7"/>
  <c r="G301" i="7"/>
  <c r="H301" i="7"/>
  <c r="G302" i="7"/>
  <c r="H302" i="7"/>
  <c r="G303" i="7"/>
  <c r="H303" i="7"/>
  <c r="G304" i="7"/>
  <c r="H304" i="7"/>
  <c r="G305" i="7"/>
  <c r="H305" i="7"/>
  <c r="G306" i="7"/>
  <c r="H306" i="7"/>
  <c r="G307" i="7"/>
  <c r="H307" i="7"/>
  <c r="G308" i="7"/>
  <c r="H308" i="7"/>
  <c r="G309" i="7"/>
  <c r="H309" i="7"/>
  <c r="G310" i="7"/>
  <c r="H310" i="7"/>
  <c r="G311" i="7"/>
  <c r="H311" i="7"/>
  <c r="G312" i="7"/>
  <c r="H312" i="7"/>
  <c r="G313" i="7"/>
  <c r="H313" i="7"/>
  <c r="G314" i="7"/>
  <c r="H314" i="7"/>
  <c r="G315" i="7"/>
  <c r="H315" i="7"/>
  <c r="G316" i="7"/>
  <c r="H316" i="7"/>
  <c r="G317" i="7"/>
  <c r="H317" i="7"/>
  <c r="G318" i="7"/>
  <c r="H318" i="7"/>
  <c r="G319" i="7"/>
  <c r="H319" i="7"/>
  <c r="G320" i="7"/>
  <c r="H320" i="7"/>
  <c r="G321" i="7"/>
  <c r="H321" i="7"/>
  <c r="G322" i="7"/>
  <c r="H322" i="7"/>
  <c r="G323" i="7"/>
  <c r="H323" i="7"/>
  <c r="G324" i="7"/>
  <c r="H324" i="7"/>
  <c r="G325" i="7"/>
  <c r="H325" i="7"/>
  <c r="G326" i="7"/>
  <c r="H326" i="7"/>
  <c r="G327" i="7"/>
  <c r="H327" i="7"/>
  <c r="G328" i="7"/>
  <c r="H328" i="7"/>
  <c r="G329" i="7"/>
  <c r="H329" i="7"/>
  <c r="G330" i="7"/>
  <c r="H330" i="7"/>
  <c r="G331" i="7"/>
  <c r="H331" i="7"/>
  <c r="G332" i="7"/>
  <c r="H332" i="7"/>
  <c r="G333" i="7"/>
  <c r="H333" i="7"/>
  <c r="G334" i="7"/>
  <c r="H334" i="7"/>
  <c r="G335" i="7"/>
  <c r="H335" i="7"/>
  <c r="G336" i="7"/>
  <c r="H336" i="7"/>
  <c r="G337" i="7"/>
  <c r="H337" i="7"/>
  <c r="G338" i="7"/>
  <c r="H338" i="7"/>
  <c r="G339" i="7"/>
  <c r="H339" i="7"/>
  <c r="G340" i="7"/>
  <c r="H340" i="7"/>
  <c r="G341" i="7"/>
  <c r="H341" i="7"/>
  <c r="G342" i="7"/>
  <c r="H342" i="7"/>
  <c r="G343" i="7"/>
  <c r="H343" i="7"/>
  <c r="G344" i="7"/>
  <c r="H344" i="7"/>
  <c r="G345" i="7"/>
  <c r="H345" i="7"/>
  <c r="G346" i="7"/>
  <c r="H346" i="7"/>
  <c r="G347" i="7"/>
  <c r="H347" i="7"/>
  <c r="G348" i="7"/>
  <c r="H348" i="7"/>
  <c r="G349" i="7"/>
  <c r="H349" i="7"/>
  <c r="G350" i="7"/>
  <c r="H350" i="7"/>
  <c r="G351" i="7"/>
  <c r="H351" i="7"/>
  <c r="G352" i="7"/>
  <c r="H352" i="7"/>
  <c r="G353" i="7"/>
  <c r="H353" i="7"/>
  <c r="G354" i="7"/>
  <c r="H354" i="7"/>
  <c r="G355" i="7"/>
  <c r="H355" i="7"/>
  <c r="G356" i="7"/>
  <c r="H356" i="7"/>
  <c r="G357" i="7"/>
  <c r="H357" i="7"/>
  <c r="G358" i="7"/>
  <c r="H358" i="7"/>
  <c r="G359" i="7"/>
  <c r="H359" i="7"/>
  <c r="G360" i="7"/>
  <c r="H360" i="7"/>
  <c r="G361" i="7"/>
  <c r="H361" i="7"/>
  <c r="G362" i="7"/>
  <c r="H362" i="7"/>
  <c r="G363" i="7"/>
  <c r="H363" i="7"/>
  <c r="G364" i="7"/>
  <c r="H364" i="7"/>
  <c r="G365" i="7"/>
  <c r="H365" i="7"/>
  <c r="G366" i="7"/>
  <c r="H366" i="7"/>
  <c r="G367" i="7"/>
  <c r="H367" i="7"/>
  <c r="G368" i="7"/>
  <c r="H368" i="7"/>
  <c r="G369" i="7"/>
  <c r="H369" i="7"/>
  <c r="G370" i="7"/>
  <c r="H370" i="7"/>
  <c r="G371" i="7"/>
  <c r="H371" i="7"/>
  <c r="G372" i="7"/>
  <c r="H372" i="7"/>
  <c r="G373" i="7"/>
  <c r="H373" i="7"/>
  <c r="G374" i="7"/>
  <c r="H374" i="7"/>
  <c r="G375" i="7"/>
  <c r="H375" i="7"/>
  <c r="G376" i="7"/>
  <c r="H376" i="7"/>
  <c r="G377" i="7"/>
  <c r="H377" i="7"/>
  <c r="G378" i="7"/>
  <c r="H378" i="7"/>
  <c r="G379" i="7"/>
  <c r="H379" i="7"/>
  <c r="G380" i="7"/>
  <c r="H380" i="7"/>
  <c r="G381" i="7"/>
  <c r="H381" i="7"/>
  <c r="G382" i="7"/>
  <c r="H382" i="7"/>
  <c r="G383" i="7"/>
  <c r="H383" i="7"/>
  <c r="G384" i="7"/>
  <c r="H384" i="7"/>
  <c r="G385" i="7"/>
  <c r="H385" i="7"/>
  <c r="G386" i="7"/>
  <c r="H386" i="7"/>
  <c r="G387" i="7"/>
  <c r="H387" i="7"/>
  <c r="G388" i="7"/>
  <c r="H388" i="7"/>
  <c r="G389" i="7"/>
  <c r="H389" i="7"/>
  <c r="G390" i="7"/>
  <c r="H390" i="7"/>
  <c r="G391" i="7"/>
  <c r="H391" i="7"/>
  <c r="G392" i="7"/>
  <c r="H392" i="7"/>
  <c r="G393" i="7"/>
  <c r="H393" i="7"/>
  <c r="G394" i="7"/>
  <c r="H394" i="7"/>
  <c r="G395" i="7"/>
  <c r="H395" i="7"/>
  <c r="G396" i="7"/>
  <c r="H396" i="7"/>
  <c r="G397" i="7"/>
  <c r="H397" i="7"/>
  <c r="G398" i="7"/>
  <c r="H398" i="7"/>
  <c r="G399" i="7"/>
  <c r="H399" i="7"/>
  <c r="G400" i="7"/>
  <c r="H400" i="7"/>
  <c r="G401" i="7"/>
  <c r="H401" i="7"/>
  <c r="G402" i="7"/>
  <c r="H402" i="7"/>
  <c r="G403" i="7"/>
  <c r="H403" i="7"/>
  <c r="G404" i="7"/>
  <c r="H404" i="7"/>
  <c r="G405" i="7"/>
  <c r="H405" i="7"/>
  <c r="G406" i="7"/>
  <c r="H406" i="7"/>
  <c r="G407" i="7"/>
  <c r="H407" i="7"/>
  <c r="G408" i="7"/>
  <c r="H408" i="7"/>
  <c r="G409" i="7"/>
  <c r="H409" i="7"/>
  <c r="G410" i="7"/>
  <c r="H410" i="7"/>
  <c r="G411" i="7"/>
  <c r="H411" i="7"/>
  <c r="G412" i="7"/>
  <c r="H412" i="7"/>
  <c r="G413" i="7"/>
  <c r="H413" i="7"/>
  <c r="G414" i="7"/>
  <c r="H414" i="7"/>
  <c r="G415" i="7"/>
  <c r="H415" i="7"/>
  <c r="G416" i="7"/>
  <c r="H416" i="7"/>
  <c r="G417" i="7"/>
  <c r="H417" i="7"/>
  <c r="G418" i="7"/>
  <c r="H418" i="7"/>
  <c r="G419" i="7"/>
  <c r="H419" i="7"/>
  <c r="G420" i="7"/>
  <c r="H420" i="7"/>
  <c r="G421" i="7"/>
  <c r="H421" i="7"/>
  <c r="G422" i="7"/>
  <c r="H422" i="7"/>
  <c r="G423" i="7"/>
  <c r="H423" i="7"/>
  <c r="G424" i="7"/>
  <c r="H424" i="7"/>
  <c r="G425" i="7"/>
  <c r="H425" i="7"/>
  <c r="G426" i="7"/>
  <c r="H426" i="7"/>
  <c r="G427" i="7"/>
  <c r="H427" i="7"/>
  <c r="G428" i="7"/>
  <c r="H428" i="7"/>
  <c r="G429" i="7"/>
  <c r="H429" i="7"/>
  <c r="G430" i="7"/>
  <c r="H430" i="7"/>
  <c r="G431" i="7"/>
  <c r="H431" i="7"/>
  <c r="G432" i="7"/>
  <c r="H432" i="7"/>
  <c r="G433" i="7"/>
  <c r="H433" i="7"/>
  <c r="G434" i="7"/>
  <c r="H434" i="7"/>
  <c r="G435" i="7"/>
  <c r="H435" i="7"/>
  <c r="G436" i="7"/>
  <c r="H436" i="7"/>
  <c r="G437" i="7"/>
  <c r="H437" i="7"/>
  <c r="G438" i="7"/>
  <c r="H438" i="7"/>
  <c r="G439" i="7"/>
  <c r="H439" i="7"/>
  <c r="G440" i="7"/>
  <c r="H440" i="7"/>
  <c r="G441" i="7"/>
  <c r="H441" i="7"/>
  <c r="G442" i="7"/>
  <c r="H442" i="7"/>
  <c r="G443" i="7"/>
  <c r="H443" i="7"/>
  <c r="G444" i="7"/>
  <c r="H444" i="7"/>
  <c r="G445" i="7"/>
  <c r="H445" i="7"/>
  <c r="G446" i="7"/>
  <c r="H446" i="7"/>
  <c r="G447" i="7"/>
  <c r="H447" i="7"/>
  <c r="G448" i="7"/>
  <c r="H448" i="7"/>
  <c r="G449" i="7"/>
  <c r="H449" i="7"/>
  <c r="G450" i="7"/>
  <c r="H450" i="7"/>
  <c r="G451" i="7"/>
  <c r="H451" i="7"/>
  <c r="G452" i="7"/>
  <c r="H452" i="7"/>
  <c r="G453" i="7"/>
  <c r="H453" i="7"/>
  <c r="G454" i="7"/>
  <c r="H454" i="7"/>
  <c r="G455" i="7"/>
  <c r="H455" i="7"/>
  <c r="G456" i="7"/>
  <c r="H456" i="7"/>
  <c r="G457" i="7"/>
  <c r="H457" i="7"/>
  <c r="G458" i="7"/>
  <c r="H458" i="7"/>
  <c r="G459" i="7"/>
  <c r="H459" i="7"/>
  <c r="G460" i="7"/>
  <c r="H460" i="7"/>
  <c r="G461" i="7"/>
  <c r="H461" i="7"/>
  <c r="G462" i="7"/>
  <c r="H462" i="7"/>
  <c r="G463" i="7"/>
  <c r="H463" i="7"/>
  <c r="G464" i="7"/>
  <c r="H464" i="7"/>
  <c r="G465" i="7"/>
  <c r="H465" i="7"/>
  <c r="G466" i="7"/>
  <c r="H466" i="7"/>
  <c r="G467" i="7"/>
  <c r="H467" i="7"/>
  <c r="G468" i="7"/>
  <c r="H468" i="7"/>
  <c r="G469" i="7"/>
  <c r="H469" i="7"/>
  <c r="G470" i="7"/>
  <c r="H470" i="7"/>
  <c r="G471" i="7"/>
  <c r="H471" i="7"/>
  <c r="G472" i="7"/>
  <c r="H472" i="7"/>
  <c r="G473" i="7"/>
  <c r="H473" i="7"/>
  <c r="G474" i="7"/>
  <c r="H474" i="7"/>
  <c r="G475" i="7"/>
  <c r="H475" i="7"/>
  <c r="G476" i="7"/>
  <c r="H476" i="7"/>
  <c r="G477" i="7"/>
  <c r="H477" i="7"/>
  <c r="G479" i="7"/>
  <c r="H479" i="7"/>
  <c r="G480" i="7"/>
  <c r="H480" i="7"/>
  <c r="G481" i="7"/>
  <c r="H481" i="7"/>
  <c r="G482" i="7"/>
  <c r="H482" i="7"/>
  <c r="G483" i="7"/>
  <c r="H483" i="7"/>
  <c r="G484" i="7"/>
  <c r="H484" i="7"/>
  <c r="G485" i="7"/>
  <c r="H485" i="7"/>
  <c r="G486" i="7"/>
  <c r="H486" i="7"/>
  <c r="G487" i="7"/>
  <c r="H487" i="7"/>
  <c r="G488" i="7"/>
  <c r="H488" i="7"/>
  <c r="G489" i="7"/>
  <c r="H489" i="7"/>
  <c r="G490" i="7"/>
  <c r="H490" i="7"/>
  <c r="G491" i="7"/>
  <c r="H491" i="7"/>
  <c r="G492" i="7"/>
  <c r="H492" i="7"/>
  <c r="G493" i="7"/>
  <c r="H493" i="7"/>
  <c r="G494" i="7"/>
  <c r="H494" i="7"/>
  <c r="G495" i="7"/>
  <c r="H495" i="7"/>
  <c r="G496" i="7"/>
  <c r="H496" i="7"/>
  <c r="G497" i="7"/>
  <c r="H497" i="7"/>
  <c r="H478" i="7"/>
  <c r="G478" i="7"/>
  <c r="A419" i="10"/>
  <c r="H2" i="7"/>
  <c r="G2" i="7"/>
  <c r="C4" i="7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403" i="7" s="1"/>
  <c r="C404" i="7" s="1"/>
  <c r="C405" i="7" s="1"/>
  <c r="C406" i="7" s="1"/>
  <c r="C407" i="7" s="1"/>
  <c r="C408" i="7" s="1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J253" i="7" l="1"/>
  <c r="K253" i="7" s="1"/>
  <c r="L253" i="7" s="1"/>
  <c r="M253" i="7" s="1"/>
  <c r="N253" i="7" s="1"/>
  <c r="O253" i="7" s="1"/>
  <c r="I253" i="7"/>
  <c r="I254" i="7"/>
  <c r="J254" i="7"/>
  <c r="K254" i="7" s="1"/>
  <c r="L254" i="7" s="1"/>
  <c r="M254" i="7" s="1"/>
  <c r="N254" i="7" s="1"/>
  <c r="O254" i="7" s="1"/>
  <c r="J255" i="7"/>
  <c r="K255" i="7" s="1"/>
  <c r="L255" i="7" s="1"/>
  <c r="M255" i="7" s="1"/>
  <c r="N255" i="7" s="1"/>
  <c r="O255" i="7" s="1"/>
  <c r="I255" i="7"/>
  <c r="J256" i="7"/>
  <c r="K256" i="7" s="1"/>
  <c r="L256" i="7" s="1"/>
  <c r="M256" i="7" s="1"/>
  <c r="N256" i="7" s="1"/>
  <c r="O256" i="7" s="1"/>
  <c r="I256" i="7"/>
  <c r="J257" i="7"/>
  <c r="K257" i="7" s="1"/>
  <c r="L257" i="7" s="1"/>
  <c r="M257" i="7" s="1"/>
  <c r="N257" i="7" s="1"/>
  <c r="O257" i="7" s="1"/>
  <c r="I257" i="7"/>
  <c r="I258" i="7"/>
  <c r="J258" i="7"/>
  <c r="K258" i="7" s="1"/>
  <c r="L258" i="7" s="1"/>
  <c r="M258" i="7" s="1"/>
  <c r="N258" i="7" s="1"/>
  <c r="O258" i="7" s="1"/>
  <c r="J259" i="7"/>
  <c r="K259" i="7" s="1"/>
  <c r="L259" i="7" s="1"/>
  <c r="M259" i="7" s="1"/>
  <c r="N259" i="7" s="1"/>
  <c r="O259" i="7" s="1"/>
  <c r="I259" i="7"/>
  <c r="J260" i="7"/>
  <c r="K260" i="7" s="1"/>
  <c r="L260" i="7" s="1"/>
  <c r="M260" i="7" s="1"/>
  <c r="N260" i="7" s="1"/>
  <c r="O260" i="7" s="1"/>
  <c r="I260" i="7"/>
  <c r="I261" i="7"/>
  <c r="J261" i="7"/>
  <c r="K261" i="7" s="1"/>
  <c r="L261" i="7" s="1"/>
  <c r="M261" i="7" s="1"/>
  <c r="N261" i="7" s="1"/>
  <c r="O261" i="7" s="1"/>
  <c r="I262" i="7"/>
  <c r="J262" i="7"/>
  <c r="K262" i="7" s="1"/>
  <c r="L262" i="7" s="1"/>
  <c r="M262" i="7" s="1"/>
  <c r="N262" i="7" s="1"/>
  <c r="O262" i="7" s="1"/>
  <c r="I263" i="7"/>
  <c r="J263" i="7"/>
  <c r="K263" i="7" s="1"/>
  <c r="L263" i="7" s="1"/>
  <c r="M263" i="7" s="1"/>
  <c r="N263" i="7" s="1"/>
  <c r="O263" i="7" s="1"/>
  <c r="I264" i="7"/>
  <c r="J264" i="7"/>
  <c r="K264" i="7" s="1"/>
  <c r="L264" i="7" s="1"/>
  <c r="M264" i="7" s="1"/>
  <c r="N264" i="7" s="1"/>
  <c r="O264" i="7" s="1"/>
  <c r="I265" i="7"/>
  <c r="J265" i="7"/>
  <c r="K265" i="7" s="1"/>
  <c r="L265" i="7" s="1"/>
  <c r="M265" i="7" s="1"/>
  <c r="N265" i="7" s="1"/>
  <c r="O265" i="7" s="1"/>
  <c r="J266" i="7"/>
  <c r="K266" i="7" s="1"/>
  <c r="L266" i="7" s="1"/>
  <c r="M266" i="7" s="1"/>
  <c r="N266" i="7" s="1"/>
  <c r="O266" i="7" s="1"/>
  <c r="I266" i="7"/>
  <c r="J267" i="7"/>
  <c r="K267" i="7" s="1"/>
  <c r="L267" i="7" s="1"/>
  <c r="M267" i="7" s="1"/>
  <c r="N267" i="7" s="1"/>
  <c r="O267" i="7" s="1"/>
  <c r="I267" i="7"/>
  <c r="I268" i="7"/>
  <c r="J268" i="7"/>
  <c r="K268" i="7" s="1"/>
  <c r="L268" i="7" s="1"/>
  <c r="M268" i="7" s="1"/>
  <c r="N268" i="7" s="1"/>
  <c r="O268" i="7" s="1"/>
  <c r="J269" i="7"/>
  <c r="K269" i="7" s="1"/>
  <c r="L269" i="7" s="1"/>
  <c r="M269" i="7" s="1"/>
  <c r="N269" i="7" s="1"/>
  <c r="O269" i="7" s="1"/>
  <c r="I269" i="7"/>
  <c r="J270" i="7"/>
  <c r="K270" i="7" s="1"/>
  <c r="L270" i="7" s="1"/>
  <c r="M270" i="7" s="1"/>
  <c r="N270" i="7" s="1"/>
  <c r="O270" i="7" s="1"/>
  <c r="I270" i="7"/>
  <c r="J271" i="7"/>
  <c r="K271" i="7" s="1"/>
  <c r="L271" i="7" s="1"/>
  <c r="M271" i="7" s="1"/>
  <c r="N271" i="7" s="1"/>
  <c r="O271" i="7" s="1"/>
  <c r="I271" i="7"/>
  <c r="J272" i="7"/>
  <c r="K272" i="7" s="1"/>
  <c r="L272" i="7" s="1"/>
  <c r="M272" i="7" s="1"/>
  <c r="N272" i="7" s="1"/>
  <c r="O272" i="7" s="1"/>
  <c r="I272" i="7"/>
  <c r="I273" i="7"/>
  <c r="J273" i="7"/>
  <c r="K273" i="7" s="1"/>
  <c r="L273" i="7" s="1"/>
  <c r="M273" i="7" s="1"/>
  <c r="N273" i="7" s="1"/>
  <c r="O273" i="7" s="1"/>
  <c r="J274" i="7"/>
  <c r="K274" i="7" s="1"/>
  <c r="L274" i="7" s="1"/>
  <c r="M274" i="7" s="1"/>
  <c r="N274" i="7" s="1"/>
  <c r="O274" i="7" s="1"/>
  <c r="I274" i="7"/>
  <c r="I275" i="7"/>
  <c r="J275" i="7"/>
  <c r="K275" i="7" s="1"/>
  <c r="L275" i="7" s="1"/>
  <c r="M275" i="7" s="1"/>
  <c r="N275" i="7" s="1"/>
  <c r="O275" i="7" s="1"/>
  <c r="J276" i="7"/>
  <c r="K276" i="7" s="1"/>
  <c r="L276" i="7" s="1"/>
  <c r="M276" i="7" s="1"/>
  <c r="N276" i="7" s="1"/>
  <c r="O276" i="7" s="1"/>
  <c r="I276" i="7"/>
  <c r="J277" i="7"/>
  <c r="K277" i="7" s="1"/>
  <c r="L277" i="7" s="1"/>
  <c r="M277" i="7" s="1"/>
  <c r="N277" i="7" s="1"/>
  <c r="O277" i="7" s="1"/>
  <c r="I277" i="7"/>
  <c r="I278" i="7"/>
  <c r="J278" i="7"/>
  <c r="K278" i="7" s="1"/>
  <c r="L278" i="7" s="1"/>
  <c r="M278" i="7" s="1"/>
  <c r="N278" i="7" s="1"/>
  <c r="O278" i="7" s="1"/>
  <c r="I279" i="7"/>
  <c r="J279" i="7"/>
  <c r="K279" i="7" s="1"/>
  <c r="L279" i="7" s="1"/>
  <c r="M279" i="7" s="1"/>
  <c r="N279" i="7" s="1"/>
  <c r="O279" i="7" s="1"/>
  <c r="J280" i="7"/>
  <c r="K280" i="7" s="1"/>
  <c r="L280" i="7" s="1"/>
  <c r="M280" i="7" s="1"/>
  <c r="N280" i="7" s="1"/>
  <c r="O280" i="7" s="1"/>
  <c r="I280" i="7"/>
  <c r="J281" i="7"/>
  <c r="K281" i="7" s="1"/>
  <c r="L281" i="7" s="1"/>
  <c r="M281" i="7" s="1"/>
  <c r="N281" i="7" s="1"/>
  <c r="O281" i="7" s="1"/>
  <c r="I281" i="7"/>
  <c r="J3" i="7"/>
  <c r="K3" i="7" s="1"/>
  <c r="L3" i="7" s="1"/>
  <c r="M3" i="7" s="1"/>
  <c r="N3" i="7" s="1"/>
  <c r="O3" i="7" s="1"/>
  <c r="I3" i="7"/>
  <c r="J4" i="7"/>
  <c r="K4" i="7" s="1"/>
  <c r="L4" i="7" s="1"/>
  <c r="M4" i="7" s="1"/>
  <c r="N4" i="7" s="1"/>
  <c r="O4" i="7" s="1"/>
  <c r="I4" i="7"/>
  <c r="J5" i="7"/>
  <c r="K5" i="7" s="1"/>
  <c r="L5" i="7" s="1"/>
  <c r="M5" i="7" s="1"/>
  <c r="N5" i="7" s="1"/>
  <c r="O5" i="7" s="1"/>
  <c r="I5" i="7"/>
  <c r="J6" i="7"/>
  <c r="K6" i="7" s="1"/>
  <c r="L6" i="7" s="1"/>
  <c r="M6" i="7" s="1"/>
  <c r="N6" i="7" s="1"/>
  <c r="O6" i="7" s="1"/>
  <c r="I6" i="7"/>
  <c r="J7" i="7"/>
  <c r="K7" i="7" s="1"/>
  <c r="L7" i="7" s="1"/>
  <c r="M7" i="7" s="1"/>
  <c r="N7" i="7" s="1"/>
  <c r="O7" i="7" s="1"/>
  <c r="I7" i="7"/>
  <c r="J8" i="7"/>
  <c r="K8" i="7" s="1"/>
  <c r="L8" i="7" s="1"/>
  <c r="M8" i="7" s="1"/>
  <c r="N8" i="7" s="1"/>
  <c r="O8" i="7" s="1"/>
  <c r="I8" i="7"/>
  <c r="J9" i="7"/>
  <c r="K9" i="7" s="1"/>
  <c r="L9" i="7" s="1"/>
  <c r="M9" i="7" s="1"/>
  <c r="N9" i="7" s="1"/>
  <c r="O9" i="7" s="1"/>
  <c r="I9" i="7"/>
  <c r="J10" i="7"/>
  <c r="K10" i="7" s="1"/>
  <c r="L10" i="7" s="1"/>
  <c r="M10" i="7" s="1"/>
  <c r="N10" i="7" s="1"/>
  <c r="O10" i="7" s="1"/>
  <c r="I10" i="7"/>
  <c r="J11" i="7"/>
  <c r="K11" i="7" s="1"/>
  <c r="L11" i="7" s="1"/>
  <c r="M11" i="7" s="1"/>
  <c r="N11" i="7" s="1"/>
  <c r="O11" i="7" s="1"/>
  <c r="I11" i="7"/>
  <c r="J12" i="7"/>
  <c r="K12" i="7" s="1"/>
  <c r="L12" i="7" s="1"/>
  <c r="M12" i="7" s="1"/>
  <c r="N12" i="7" s="1"/>
  <c r="O12" i="7" s="1"/>
  <c r="I12" i="7"/>
  <c r="J13" i="7"/>
  <c r="K13" i="7" s="1"/>
  <c r="L13" i="7" s="1"/>
  <c r="M13" i="7" s="1"/>
  <c r="N13" i="7" s="1"/>
  <c r="O13" i="7" s="1"/>
  <c r="I13" i="7"/>
  <c r="J14" i="7"/>
  <c r="K14" i="7" s="1"/>
  <c r="L14" i="7" s="1"/>
  <c r="M14" i="7" s="1"/>
  <c r="N14" i="7" s="1"/>
  <c r="O14" i="7" s="1"/>
  <c r="I14" i="7"/>
  <c r="J15" i="7"/>
  <c r="K15" i="7" s="1"/>
  <c r="L15" i="7" s="1"/>
  <c r="M15" i="7" s="1"/>
  <c r="N15" i="7" s="1"/>
  <c r="O15" i="7" s="1"/>
  <c r="I15" i="7"/>
  <c r="J16" i="7"/>
  <c r="K16" i="7" s="1"/>
  <c r="L16" i="7" s="1"/>
  <c r="M16" i="7" s="1"/>
  <c r="N16" i="7" s="1"/>
  <c r="O16" i="7" s="1"/>
  <c r="I16" i="7"/>
  <c r="J17" i="7"/>
  <c r="K17" i="7" s="1"/>
  <c r="L17" i="7" s="1"/>
  <c r="M17" i="7" s="1"/>
  <c r="N17" i="7" s="1"/>
  <c r="O17" i="7" s="1"/>
  <c r="I17" i="7"/>
  <c r="J18" i="7"/>
  <c r="K18" i="7" s="1"/>
  <c r="L18" i="7" s="1"/>
  <c r="M18" i="7" s="1"/>
  <c r="N18" i="7" s="1"/>
  <c r="O18" i="7" s="1"/>
  <c r="I18" i="7"/>
  <c r="J19" i="7"/>
  <c r="K19" i="7" s="1"/>
  <c r="L19" i="7" s="1"/>
  <c r="M19" i="7" s="1"/>
  <c r="N19" i="7" s="1"/>
  <c r="O19" i="7" s="1"/>
  <c r="I19" i="7"/>
  <c r="J20" i="7"/>
  <c r="K20" i="7" s="1"/>
  <c r="L20" i="7" s="1"/>
  <c r="M20" i="7" s="1"/>
  <c r="N20" i="7" s="1"/>
  <c r="O20" i="7" s="1"/>
  <c r="I20" i="7"/>
  <c r="J21" i="7"/>
  <c r="K21" i="7" s="1"/>
  <c r="L21" i="7" s="1"/>
  <c r="M21" i="7" s="1"/>
  <c r="N21" i="7" s="1"/>
  <c r="O21" i="7" s="1"/>
  <c r="I21" i="7"/>
  <c r="J22" i="7"/>
  <c r="K22" i="7" s="1"/>
  <c r="L22" i="7" s="1"/>
  <c r="M22" i="7" s="1"/>
  <c r="N22" i="7" s="1"/>
  <c r="O22" i="7" s="1"/>
  <c r="I22" i="7"/>
  <c r="J23" i="7"/>
  <c r="K23" i="7" s="1"/>
  <c r="L23" i="7" s="1"/>
  <c r="M23" i="7" s="1"/>
  <c r="N23" i="7" s="1"/>
  <c r="O23" i="7" s="1"/>
  <c r="I23" i="7"/>
  <c r="J24" i="7"/>
  <c r="K24" i="7" s="1"/>
  <c r="L24" i="7" s="1"/>
  <c r="M24" i="7" s="1"/>
  <c r="N24" i="7" s="1"/>
  <c r="O24" i="7" s="1"/>
  <c r="I24" i="7"/>
  <c r="J25" i="7"/>
  <c r="K25" i="7" s="1"/>
  <c r="L25" i="7" s="1"/>
  <c r="M25" i="7" s="1"/>
  <c r="N25" i="7" s="1"/>
  <c r="O25" i="7" s="1"/>
  <c r="I25" i="7"/>
  <c r="J26" i="7"/>
  <c r="K26" i="7" s="1"/>
  <c r="L26" i="7" s="1"/>
  <c r="M26" i="7" s="1"/>
  <c r="N26" i="7" s="1"/>
  <c r="O26" i="7" s="1"/>
  <c r="I26" i="7"/>
  <c r="J27" i="7"/>
  <c r="K27" i="7" s="1"/>
  <c r="L27" i="7" s="1"/>
  <c r="M27" i="7" s="1"/>
  <c r="N27" i="7" s="1"/>
  <c r="O27" i="7" s="1"/>
  <c r="I27" i="7"/>
  <c r="J28" i="7"/>
  <c r="K28" i="7" s="1"/>
  <c r="L28" i="7" s="1"/>
  <c r="M28" i="7" s="1"/>
  <c r="N28" i="7" s="1"/>
  <c r="O28" i="7" s="1"/>
  <c r="I28" i="7"/>
  <c r="J29" i="7"/>
  <c r="K29" i="7" s="1"/>
  <c r="L29" i="7" s="1"/>
  <c r="M29" i="7" s="1"/>
  <c r="N29" i="7" s="1"/>
  <c r="O29" i="7" s="1"/>
  <c r="I29" i="7"/>
  <c r="J30" i="7"/>
  <c r="K30" i="7" s="1"/>
  <c r="L30" i="7" s="1"/>
  <c r="M30" i="7" s="1"/>
  <c r="N30" i="7" s="1"/>
  <c r="O30" i="7" s="1"/>
  <c r="I30" i="7"/>
  <c r="J31" i="7"/>
  <c r="K31" i="7" s="1"/>
  <c r="L31" i="7" s="1"/>
  <c r="M31" i="7" s="1"/>
  <c r="N31" i="7" s="1"/>
  <c r="O31" i="7" s="1"/>
  <c r="I31" i="7"/>
  <c r="J32" i="7"/>
  <c r="K32" i="7" s="1"/>
  <c r="L32" i="7" s="1"/>
  <c r="M32" i="7" s="1"/>
  <c r="N32" i="7" s="1"/>
  <c r="O32" i="7" s="1"/>
  <c r="I32" i="7"/>
  <c r="J33" i="7"/>
  <c r="K33" i="7" s="1"/>
  <c r="L33" i="7" s="1"/>
  <c r="M33" i="7" s="1"/>
  <c r="N33" i="7" s="1"/>
  <c r="O33" i="7" s="1"/>
  <c r="I33" i="7"/>
  <c r="J34" i="7"/>
  <c r="K34" i="7" s="1"/>
  <c r="L34" i="7" s="1"/>
  <c r="M34" i="7" s="1"/>
  <c r="N34" i="7" s="1"/>
  <c r="O34" i="7" s="1"/>
  <c r="I34" i="7"/>
  <c r="J35" i="7"/>
  <c r="K35" i="7" s="1"/>
  <c r="L35" i="7" s="1"/>
  <c r="M35" i="7" s="1"/>
  <c r="N35" i="7" s="1"/>
  <c r="O35" i="7" s="1"/>
  <c r="I35" i="7"/>
  <c r="J36" i="7"/>
  <c r="K36" i="7" s="1"/>
  <c r="L36" i="7" s="1"/>
  <c r="M36" i="7" s="1"/>
  <c r="N36" i="7" s="1"/>
  <c r="O36" i="7" s="1"/>
  <c r="I36" i="7"/>
  <c r="J37" i="7"/>
  <c r="K37" i="7" s="1"/>
  <c r="L37" i="7" s="1"/>
  <c r="M37" i="7" s="1"/>
  <c r="N37" i="7" s="1"/>
  <c r="O37" i="7" s="1"/>
  <c r="I37" i="7"/>
  <c r="J38" i="7"/>
  <c r="K38" i="7" s="1"/>
  <c r="L38" i="7" s="1"/>
  <c r="M38" i="7" s="1"/>
  <c r="N38" i="7" s="1"/>
  <c r="O38" i="7" s="1"/>
  <c r="I38" i="7"/>
  <c r="J39" i="7"/>
  <c r="K39" i="7" s="1"/>
  <c r="L39" i="7" s="1"/>
  <c r="M39" i="7" s="1"/>
  <c r="N39" i="7" s="1"/>
  <c r="O39" i="7" s="1"/>
  <c r="I39" i="7"/>
  <c r="J40" i="7"/>
  <c r="K40" i="7" s="1"/>
  <c r="L40" i="7" s="1"/>
  <c r="M40" i="7" s="1"/>
  <c r="N40" i="7" s="1"/>
  <c r="O40" i="7" s="1"/>
  <c r="I40" i="7"/>
  <c r="J41" i="7"/>
  <c r="K41" i="7" s="1"/>
  <c r="L41" i="7" s="1"/>
  <c r="M41" i="7" s="1"/>
  <c r="N41" i="7" s="1"/>
  <c r="O41" i="7" s="1"/>
  <c r="I41" i="7"/>
  <c r="J42" i="7"/>
  <c r="K42" i="7" s="1"/>
  <c r="L42" i="7" s="1"/>
  <c r="M42" i="7" s="1"/>
  <c r="N42" i="7" s="1"/>
  <c r="O42" i="7" s="1"/>
  <c r="I42" i="7"/>
  <c r="J43" i="7"/>
  <c r="K43" i="7" s="1"/>
  <c r="L43" i="7" s="1"/>
  <c r="M43" i="7" s="1"/>
  <c r="N43" i="7" s="1"/>
  <c r="O43" i="7" s="1"/>
  <c r="I43" i="7"/>
  <c r="J44" i="7"/>
  <c r="K44" i="7" s="1"/>
  <c r="L44" i="7" s="1"/>
  <c r="M44" i="7" s="1"/>
  <c r="N44" i="7" s="1"/>
  <c r="O44" i="7" s="1"/>
  <c r="I44" i="7"/>
  <c r="J45" i="7"/>
  <c r="K45" i="7" s="1"/>
  <c r="L45" i="7" s="1"/>
  <c r="M45" i="7" s="1"/>
  <c r="N45" i="7" s="1"/>
  <c r="O45" i="7" s="1"/>
  <c r="I45" i="7"/>
  <c r="J46" i="7"/>
  <c r="K46" i="7" s="1"/>
  <c r="L46" i="7" s="1"/>
  <c r="M46" i="7" s="1"/>
  <c r="N46" i="7" s="1"/>
  <c r="O46" i="7" s="1"/>
  <c r="I46" i="7"/>
  <c r="J47" i="7"/>
  <c r="K47" i="7" s="1"/>
  <c r="L47" i="7" s="1"/>
  <c r="M47" i="7" s="1"/>
  <c r="N47" i="7" s="1"/>
  <c r="O47" i="7" s="1"/>
  <c r="I47" i="7"/>
  <c r="J48" i="7"/>
  <c r="K48" i="7" s="1"/>
  <c r="L48" i="7" s="1"/>
  <c r="M48" i="7" s="1"/>
  <c r="N48" i="7" s="1"/>
  <c r="O48" i="7" s="1"/>
  <c r="I48" i="7"/>
  <c r="J49" i="7"/>
  <c r="K49" i="7" s="1"/>
  <c r="L49" i="7" s="1"/>
  <c r="M49" i="7" s="1"/>
  <c r="N49" i="7" s="1"/>
  <c r="O49" i="7" s="1"/>
  <c r="I49" i="7"/>
  <c r="J50" i="7"/>
  <c r="K50" i="7" s="1"/>
  <c r="L50" i="7" s="1"/>
  <c r="M50" i="7" s="1"/>
  <c r="N50" i="7" s="1"/>
  <c r="O50" i="7" s="1"/>
  <c r="I50" i="7"/>
  <c r="J51" i="7"/>
  <c r="K51" i="7" s="1"/>
  <c r="L51" i="7" s="1"/>
  <c r="M51" i="7" s="1"/>
  <c r="N51" i="7" s="1"/>
  <c r="O51" i="7" s="1"/>
  <c r="I51" i="7"/>
  <c r="J52" i="7"/>
  <c r="K52" i="7" s="1"/>
  <c r="L52" i="7" s="1"/>
  <c r="M52" i="7" s="1"/>
  <c r="N52" i="7" s="1"/>
  <c r="O52" i="7" s="1"/>
  <c r="I52" i="7"/>
  <c r="J53" i="7"/>
  <c r="K53" i="7" s="1"/>
  <c r="L53" i="7" s="1"/>
  <c r="M53" i="7" s="1"/>
  <c r="N53" i="7" s="1"/>
  <c r="O53" i="7" s="1"/>
  <c r="I53" i="7"/>
  <c r="J54" i="7"/>
  <c r="K54" i="7" s="1"/>
  <c r="L54" i="7" s="1"/>
  <c r="M54" i="7" s="1"/>
  <c r="N54" i="7" s="1"/>
  <c r="O54" i="7" s="1"/>
  <c r="I54" i="7"/>
  <c r="J55" i="7"/>
  <c r="K55" i="7" s="1"/>
  <c r="L55" i="7" s="1"/>
  <c r="M55" i="7" s="1"/>
  <c r="N55" i="7" s="1"/>
  <c r="O55" i="7" s="1"/>
  <c r="I55" i="7"/>
  <c r="J56" i="7"/>
  <c r="K56" i="7" s="1"/>
  <c r="L56" i="7" s="1"/>
  <c r="M56" i="7" s="1"/>
  <c r="N56" i="7" s="1"/>
  <c r="O56" i="7" s="1"/>
  <c r="I56" i="7"/>
  <c r="J57" i="7"/>
  <c r="K57" i="7" s="1"/>
  <c r="L57" i="7" s="1"/>
  <c r="M57" i="7" s="1"/>
  <c r="N57" i="7" s="1"/>
  <c r="O57" i="7" s="1"/>
  <c r="I57" i="7"/>
  <c r="J58" i="7"/>
  <c r="K58" i="7" s="1"/>
  <c r="L58" i="7" s="1"/>
  <c r="M58" i="7" s="1"/>
  <c r="N58" i="7" s="1"/>
  <c r="O58" i="7" s="1"/>
  <c r="I58" i="7"/>
  <c r="J59" i="7"/>
  <c r="K59" i="7" s="1"/>
  <c r="L59" i="7" s="1"/>
  <c r="M59" i="7" s="1"/>
  <c r="N59" i="7" s="1"/>
  <c r="O59" i="7" s="1"/>
  <c r="I59" i="7"/>
  <c r="J60" i="7"/>
  <c r="K60" i="7" s="1"/>
  <c r="L60" i="7" s="1"/>
  <c r="M60" i="7" s="1"/>
  <c r="N60" i="7" s="1"/>
  <c r="O60" i="7" s="1"/>
  <c r="I60" i="7"/>
  <c r="J61" i="7"/>
  <c r="K61" i="7" s="1"/>
  <c r="L61" i="7" s="1"/>
  <c r="M61" i="7" s="1"/>
  <c r="N61" i="7" s="1"/>
  <c r="O61" i="7" s="1"/>
  <c r="I61" i="7"/>
  <c r="J62" i="7"/>
  <c r="K62" i="7" s="1"/>
  <c r="L62" i="7" s="1"/>
  <c r="M62" i="7" s="1"/>
  <c r="N62" i="7" s="1"/>
  <c r="O62" i="7" s="1"/>
  <c r="I62" i="7"/>
  <c r="J63" i="7"/>
  <c r="K63" i="7" s="1"/>
  <c r="L63" i="7" s="1"/>
  <c r="M63" i="7" s="1"/>
  <c r="N63" i="7" s="1"/>
  <c r="O63" i="7" s="1"/>
  <c r="I63" i="7"/>
  <c r="J64" i="7"/>
  <c r="K64" i="7" s="1"/>
  <c r="L64" i="7" s="1"/>
  <c r="M64" i="7" s="1"/>
  <c r="N64" i="7" s="1"/>
  <c r="O64" i="7" s="1"/>
  <c r="I64" i="7"/>
  <c r="J65" i="7"/>
  <c r="K65" i="7" s="1"/>
  <c r="L65" i="7" s="1"/>
  <c r="M65" i="7" s="1"/>
  <c r="N65" i="7" s="1"/>
  <c r="O65" i="7" s="1"/>
  <c r="I65" i="7"/>
  <c r="J66" i="7"/>
  <c r="K66" i="7" s="1"/>
  <c r="L66" i="7" s="1"/>
  <c r="M66" i="7" s="1"/>
  <c r="N66" i="7" s="1"/>
  <c r="O66" i="7" s="1"/>
  <c r="I66" i="7"/>
  <c r="J67" i="7"/>
  <c r="K67" i="7" s="1"/>
  <c r="L67" i="7" s="1"/>
  <c r="M67" i="7" s="1"/>
  <c r="N67" i="7" s="1"/>
  <c r="O67" i="7" s="1"/>
  <c r="I67" i="7"/>
  <c r="J68" i="7"/>
  <c r="K68" i="7" s="1"/>
  <c r="L68" i="7" s="1"/>
  <c r="M68" i="7" s="1"/>
  <c r="N68" i="7" s="1"/>
  <c r="O68" i="7" s="1"/>
  <c r="I68" i="7"/>
  <c r="J69" i="7"/>
  <c r="K69" i="7" s="1"/>
  <c r="L69" i="7" s="1"/>
  <c r="M69" i="7" s="1"/>
  <c r="N69" i="7" s="1"/>
  <c r="O69" i="7" s="1"/>
  <c r="I69" i="7"/>
  <c r="J70" i="7"/>
  <c r="K70" i="7" s="1"/>
  <c r="L70" i="7" s="1"/>
  <c r="M70" i="7" s="1"/>
  <c r="N70" i="7" s="1"/>
  <c r="O70" i="7" s="1"/>
  <c r="I70" i="7"/>
  <c r="J71" i="7"/>
  <c r="K71" i="7" s="1"/>
  <c r="L71" i="7" s="1"/>
  <c r="M71" i="7" s="1"/>
  <c r="N71" i="7" s="1"/>
  <c r="O71" i="7" s="1"/>
  <c r="I71" i="7"/>
  <c r="J72" i="7"/>
  <c r="K72" i="7" s="1"/>
  <c r="L72" i="7" s="1"/>
  <c r="M72" i="7" s="1"/>
  <c r="N72" i="7" s="1"/>
  <c r="O72" i="7" s="1"/>
  <c r="I72" i="7"/>
  <c r="J73" i="7"/>
  <c r="K73" i="7" s="1"/>
  <c r="L73" i="7" s="1"/>
  <c r="M73" i="7" s="1"/>
  <c r="N73" i="7" s="1"/>
  <c r="O73" i="7" s="1"/>
  <c r="I73" i="7"/>
  <c r="J74" i="7"/>
  <c r="K74" i="7" s="1"/>
  <c r="L74" i="7" s="1"/>
  <c r="M74" i="7" s="1"/>
  <c r="N74" i="7" s="1"/>
  <c r="O74" i="7" s="1"/>
  <c r="I74" i="7"/>
  <c r="J75" i="7"/>
  <c r="K75" i="7" s="1"/>
  <c r="L75" i="7" s="1"/>
  <c r="M75" i="7" s="1"/>
  <c r="N75" i="7" s="1"/>
  <c r="O75" i="7" s="1"/>
  <c r="I75" i="7"/>
  <c r="J76" i="7"/>
  <c r="K76" i="7" s="1"/>
  <c r="L76" i="7" s="1"/>
  <c r="M76" i="7" s="1"/>
  <c r="N76" i="7" s="1"/>
  <c r="O76" i="7" s="1"/>
  <c r="I76" i="7"/>
  <c r="J77" i="7"/>
  <c r="K77" i="7" s="1"/>
  <c r="L77" i="7" s="1"/>
  <c r="M77" i="7" s="1"/>
  <c r="N77" i="7" s="1"/>
  <c r="O77" i="7" s="1"/>
  <c r="I77" i="7"/>
  <c r="J78" i="7"/>
  <c r="K78" i="7" s="1"/>
  <c r="L78" i="7" s="1"/>
  <c r="M78" i="7" s="1"/>
  <c r="N78" i="7" s="1"/>
  <c r="O78" i="7" s="1"/>
  <c r="I78" i="7"/>
  <c r="J79" i="7"/>
  <c r="K79" i="7" s="1"/>
  <c r="L79" i="7" s="1"/>
  <c r="M79" i="7" s="1"/>
  <c r="N79" i="7" s="1"/>
  <c r="O79" i="7" s="1"/>
  <c r="I79" i="7"/>
  <c r="J80" i="7"/>
  <c r="K80" i="7" s="1"/>
  <c r="L80" i="7" s="1"/>
  <c r="M80" i="7" s="1"/>
  <c r="N80" i="7" s="1"/>
  <c r="O80" i="7" s="1"/>
  <c r="I80" i="7"/>
  <c r="J81" i="7"/>
  <c r="K81" i="7" s="1"/>
  <c r="L81" i="7" s="1"/>
  <c r="M81" i="7" s="1"/>
  <c r="N81" i="7" s="1"/>
  <c r="O81" i="7" s="1"/>
  <c r="I81" i="7"/>
  <c r="J82" i="7"/>
  <c r="K82" i="7" s="1"/>
  <c r="L82" i="7" s="1"/>
  <c r="M82" i="7" s="1"/>
  <c r="N82" i="7" s="1"/>
  <c r="O82" i="7" s="1"/>
  <c r="I82" i="7"/>
  <c r="J83" i="7"/>
  <c r="K83" i="7" s="1"/>
  <c r="L83" i="7" s="1"/>
  <c r="M83" i="7" s="1"/>
  <c r="N83" i="7" s="1"/>
  <c r="O83" i="7" s="1"/>
  <c r="I83" i="7"/>
  <c r="J84" i="7"/>
  <c r="K84" i="7" s="1"/>
  <c r="L84" i="7" s="1"/>
  <c r="M84" i="7" s="1"/>
  <c r="N84" i="7" s="1"/>
  <c r="O84" i="7" s="1"/>
  <c r="I84" i="7"/>
  <c r="J85" i="7"/>
  <c r="K85" i="7" s="1"/>
  <c r="L85" i="7" s="1"/>
  <c r="M85" i="7" s="1"/>
  <c r="N85" i="7" s="1"/>
  <c r="O85" i="7" s="1"/>
  <c r="I85" i="7"/>
  <c r="J86" i="7"/>
  <c r="K86" i="7" s="1"/>
  <c r="L86" i="7" s="1"/>
  <c r="M86" i="7" s="1"/>
  <c r="N86" i="7" s="1"/>
  <c r="O86" i="7" s="1"/>
  <c r="I86" i="7"/>
  <c r="J87" i="7"/>
  <c r="K87" i="7" s="1"/>
  <c r="L87" i="7" s="1"/>
  <c r="M87" i="7" s="1"/>
  <c r="N87" i="7" s="1"/>
  <c r="O87" i="7" s="1"/>
  <c r="I87" i="7"/>
  <c r="J88" i="7"/>
  <c r="K88" i="7" s="1"/>
  <c r="L88" i="7" s="1"/>
  <c r="M88" i="7" s="1"/>
  <c r="N88" i="7" s="1"/>
  <c r="O88" i="7" s="1"/>
  <c r="I88" i="7"/>
  <c r="J89" i="7"/>
  <c r="K89" i="7" s="1"/>
  <c r="L89" i="7" s="1"/>
  <c r="M89" i="7" s="1"/>
  <c r="N89" i="7" s="1"/>
  <c r="O89" i="7" s="1"/>
  <c r="I89" i="7"/>
  <c r="J90" i="7"/>
  <c r="K90" i="7" s="1"/>
  <c r="L90" i="7" s="1"/>
  <c r="M90" i="7" s="1"/>
  <c r="N90" i="7" s="1"/>
  <c r="O90" i="7" s="1"/>
  <c r="I90" i="7"/>
  <c r="J91" i="7"/>
  <c r="K91" i="7" s="1"/>
  <c r="L91" i="7" s="1"/>
  <c r="M91" i="7" s="1"/>
  <c r="N91" i="7" s="1"/>
  <c r="O91" i="7" s="1"/>
  <c r="I91" i="7"/>
  <c r="J92" i="7"/>
  <c r="K92" i="7" s="1"/>
  <c r="L92" i="7" s="1"/>
  <c r="M92" i="7" s="1"/>
  <c r="N92" i="7" s="1"/>
  <c r="O92" i="7" s="1"/>
  <c r="I92" i="7"/>
  <c r="J93" i="7"/>
  <c r="K93" i="7" s="1"/>
  <c r="L93" i="7" s="1"/>
  <c r="M93" i="7" s="1"/>
  <c r="N93" i="7" s="1"/>
  <c r="O93" i="7" s="1"/>
  <c r="I93" i="7"/>
  <c r="J94" i="7"/>
  <c r="K94" i="7" s="1"/>
  <c r="L94" i="7" s="1"/>
  <c r="M94" i="7" s="1"/>
  <c r="N94" i="7" s="1"/>
  <c r="O94" i="7" s="1"/>
  <c r="I94" i="7"/>
  <c r="J95" i="7"/>
  <c r="K95" i="7" s="1"/>
  <c r="L95" i="7" s="1"/>
  <c r="M95" i="7" s="1"/>
  <c r="N95" i="7" s="1"/>
  <c r="O95" i="7" s="1"/>
  <c r="I95" i="7"/>
  <c r="J96" i="7"/>
  <c r="K96" i="7" s="1"/>
  <c r="L96" i="7" s="1"/>
  <c r="M96" i="7" s="1"/>
  <c r="N96" i="7" s="1"/>
  <c r="O96" i="7" s="1"/>
  <c r="I96" i="7"/>
  <c r="J97" i="7"/>
  <c r="K97" i="7" s="1"/>
  <c r="L97" i="7" s="1"/>
  <c r="M97" i="7" s="1"/>
  <c r="N97" i="7" s="1"/>
  <c r="O97" i="7" s="1"/>
  <c r="I97" i="7"/>
  <c r="J98" i="7"/>
  <c r="K98" i="7" s="1"/>
  <c r="L98" i="7" s="1"/>
  <c r="M98" i="7" s="1"/>
  <c r="N98" i="7" s="1"/>
  <c r="O98" i="7" s="1"/>
  <c r="I98" i="7"/>
  <c r="J99" i="7"/>
  <c r="K99" i="7" s="1"/>
  <c r="L99" i="7" s="1"/>
  <c r="M99" i="7" s="1"/>
  <c r="N99" i="7" s="1"/>
  <c r="O99" i="7" s="1"/>
  <c r="I99" i="7"/>
  <c r="J100" i="7"/>
  <c r="K100" i="7" s="1"/>
  <c r="L100" i="7" s="1"/>
  <c r="M100" i="7" s="1"/>
  <c r="N100" i="7" s="1"/>
  <c r="O100" i="7" s="1"/>
  <c r="I100" i="7"/>
  <c r="J101" i="7"/>
  <c r="K101" i="7" s="1"/>
  <c r="L101" i="7" s="1"/>
  <c r="M101" i="7" s="1"/>
  <c r="N101" i="7" s="1"/>
  <c r="O101" i="7" s="1"/>
  <c r="I101" i="7"/>
  <c r="J102" i="7"/>
  <c r="K102" i="7" s="1"/>
  <c r="L102" i="7" s="1"/>
  <c r="M102" i="7" s="1"/>
  <c r="N102" i="7" s="1"/>
  <c r="O102" i="7" s="1"/>
  <c r="I102" i="7"/>
  <c r="J103" i="7"/>
  <c r="K103" i="7" s="1"/>
  <c r="L103" i="7" s="1"/>
  <c r="M103" i="7" s="1"/>
  <c r="N103" i="7" s="1"/>
  <c r="O103" i="7" s="1"/>
  <c r="I103" i="7"/>
  <c r="J104" i="7"/>
  <c r="K104" i="7" s="1"/>
  <c r="L104" i="7" s="1"/>
  <c r="M104" i="7" s="1"/>
  <c r="N104" i="7" s="1"/>
  <c r="O104" i="7" s="1"/>
  <c r="I104" i="7"/>
  <c r="J105" i="7"/>
  <c r="K105" i="7" s="1"/>
  <c r="L105" i="7" s="1"/>
  <c r="M105" i="7" s="1"/>
  <c r="N105" i="7" s="1"/>
  <c r="O105" i="7" s="1"/>
  <c r="I105" i="7"/>
  <c r="J106" i="7"/>
  <c r="K106" i="7" s="1"/>
  <c r="L106" i="7" s="1"/>
  <c r="M106" i="7" s="1"/>
  <c r="N106" i="7" s="1"/>
  <c r="O106" i="7" s="1"/>
  <c r="I106" i="7"/>
  <c r="J107" i="7"/>
  <c r="K107" i="7" s="1"/>
  <c r="L107" i="7" s="1"/>
  <c r="M107" i="7" s="1"/>
  <c r="N107" i="7" s="1"/>
  <c r="O107" i="7" s="1"/>
  <c r="I107" i="7"/>
  <c r="J108" i="7"/>
  <c r="K108" i="7" s="1"/>
  <c r="L108" i="7" s="1"/>
  <c r="M108" i="7" s="1"/>
  <c r="N108" i="7" s="1"/>
  <c r="O108" i="7" s="1"/>
  <c r="I108" i="7"/>
  <c r="J109" i="7"/>
  <c r="K109" i="7" s="1"/>
  <c r="L109" i="7" s="1"/>
  <c r="M109" i="7" s="1"/>
  <c r="N109" i="7" s="1"/>
  <c r="O109" i="7" s="1"/>
  <c r="I109" i="7"/>
  <c r="J110" i="7"/>
  <c r="K110" i="7" s="1"/>
  <c r="L110" i="7" s="1"/>
  <c r="M110" i="7" s="1"/>
  <c r="N110" i="7" s="1"/>
  <c r="O110" i="7" s="1"/>
  <c r="I110" i="7"/>
  <c r="J111" i="7"/>
  <c r="K111" i="7" s="1"/>
  <c r="L111" i="7" s="1"/>
  <c r="M111" i="7" s="1"/>
  <c r="N111" i="7" s="1"/>
  <c r="O111" i="7" s="1"/>
  <c r="I111" i="7"/>
  <c r="J112" i="7"/>
  <c r="K112" i="7" s="1"/>
  <c r="L112" i="7" s="1"/>
  <c r="M112" i="7" s="1"/>
  <c r="N112" i="7" s="1"/>
  <c r="O112" i="7" s="1"/>
  <c r="I112" i="7"/>
  <c r="J113" i="7"/>
  <c r="K113" i="7" s="1"/>
  <c r="L113" i="7" s="1"/>
  <c r="M113" i="7" s="1"/>
  <c r="N113" i="7" s="1"/>
  <c r="O113" i="7" s="1"/>
  <c r="I113" i="7"/>
  <c r="J114" i="7"/>
  <c r="K114" i="7" s="1"/>
  <c r="L114" i="7" s="1"/>
  <c r="M114" i="7" s="1"/>
  <c r="N114" i="7" s="1"/>
  <c r="O114" i="7" s="1"/>
  <c r="I114" i="7"/>
  <c r="J115" i="7"/>
  <c r="K115" i="7" s="1"/>
  <c r="L115" i="7" s="1"/>
  <c r="M115" i="7" s="1"/>
  <c r="N115" i="7" s="1"/>
  <c r="O115" i="7" s="1"/>
  <c r="I115" i="7"/>
  <c r="J116" i="7"/>
  <c r="K116" i="7" s="1"/>
  <c r="L116" i="7" s="1"/>
  <c r="M116" i="7" s="1"/>
  <c r="N116" i="7" s="1"/>
  <c r="O116" i="7" s="1"/>
  <c r="I116" i="7"/>
  <c r="J117" i="7"/>
  <c r="K117" i="7" s="1"/>
  <c r="L117" i="7" s="1"/>
  <c r="M117" i="7" s="1"/>
  <c r="N117" i="7" s="1"/>
  <c r="O117" i="7" s="1"/>
  <c r="I117" i="7"/>
  <c r="J118" i="7"/>
  <c r="K118" i="7" s="1"/>
  <c r="L118" i="7" s="1"/>
  <c r="M118" i="7" s="1"/>
  <c r="N118" i="7" s="1"/>
  <c r="O118" i="7" s="1"/>
  <c r="I118" i="7"/>
  <c r="J119" i="7"/>
  <c r="K119" i="7" s="1"/>
  <c r="L119" i="7" s="1"/>
  <c r="M119" i="7" s="1"/>
  <c r="N119" i="7" s="1"/>
  <c r="O119" i="7" s="1"/>
  <c r="I119" i="7"/>
  <c r="J120" i="7"/>
  <c r="K120" i="7" s="1"/>
  <c r="L120" i="7" s="1"/>
  <c r="M120" i="7" s="1"/>
  <c r="N120" i="7" s="1"/>
  <c r="O120" i="7" s="1"/>
  <c r="I120" i="7"/>
  <c r="J121" i="7"/>
  <c r="K121" i="7" s="1"/>
  <c r="L121" i="7" s="1"/>
  <c r="M121" i="7" s="1"/>
  <c r="N121" i="7" s="1"/>
  <c r="O121" i="7" s="1"/>
  <c r="I121" i="7"/>
  <c r="J122" i="7"/>
  <c r="K122" i="7" s="1"/>
  <c r="L122" i="7" s="1"/>
  <c r="M122" i="7" s="1"/>
  <c r="N122" i="7" s="1"/>
  <c r="O122" i="7" s="1"/>
  <c r="I122" i="7"/>
  <c r="J123" i="7"/>
  <c r="K123" i="7" s="1"/>
  <c r="L123" i="7" s="1"/>
  <c r="M123" i="7" s="1"/>
  <c r="N123" i="7" s="1"/>
  <c r="O123" i="7" s="1"/>
  <c r="I123" i="7"/>
  <c r="J124" i="7"/>
  <c r="K124" i="7" s="1"/>
  <c r="L124" i="7" s="1"/>
  <c r="M124" i="7" s="1"/>
  <c r="N124" i="7" s="1"/>
  <c r="O124" i="7" s="1"/>
  <c r="I124" i="7"/>
  <c r="J125" i="7"/>
  <c r="K125" i="7" s="1"/>
  <c r="L125" i="7" s="1"/>
  <c r="M125" i="7" s="1"/>
  <c r="N125" i="7" s="1"/>
  <c r="O125" i="7" s="1"/>
  <c r="I125" i="7"/>
  <c r="J126" i="7"/>
  <c r="K126" i="7" s="1"/>
  <c r="L126" i="7" s="1"/>
  <c r="M126" i="7" s="1"/>
  <c r="N126" i="7" s="1"/>
  <c r="O126" i="7" s="1"/>
  <c r="I126" i="7"/>
  <c r="J127" i="7"/>
  <c r="K127" i="7" s="1"/>
  <c r="L127" i="7" s="1"/>
  <c r="M127" i="7" s="1"/>
  <c r="N127" i="7" s="1"/>
  <c r="O127" i="7" s="1"/>
  <c r="I127" i="7"/>
  <c r="J128" i="7"/>
  <c r="K128" i="7" s="1"/>
  <c r="L128" i="7" s="1"/>
  <c r="M128" i="7" s="1"/>
  <c r="N128" i="7" s="1"/>
  <c r="O128" i="7" s="1"/>
  <c r="I128" i="7"/>
  <c r="J129" i="7"/>
  <c r="K129" i="7" s="1"/>
  <c r="L129" i="7" s="1"/>
  <c r="M129" i="7" s="1"/>
  <c r="N129" i="7" s="1"/>
  <c r="O129" i="7" s="1"/>
  <c r="I129" i="7"/>
  <c r="J130" i="7"/>
  <c r="K130" i="7" s="1"/>
  <c r="L130" i="7" s="1"/>
  <c r="M130" i="7" s="1"/>
  <c r="N130" i="7" s="1"/>
  <c r="O130" i="7" s="1"/>
  <c r="I130" i="7"/>
  <c r="J131" i="7"/>
  <c r="K131" i="7" s="1"/>
  <c r="L131" i="7" s="1"/>
  <c r="M131" i="7" s="1"/>
  <c r="N131" i="7" s="1"/>
  <c r="O131" i="7" s="1"/>
  <c r="I131" i="7"/>
  <c r="J132" i="7"/>
  <c r="K132" i="7" s="1"/>
  <c r="L132" i="7" s="1"/>
  <c r="M132" i="7" s="1"/>
  <c r="N132" i="7" s="1"/>
  <c r="O132" i="7" s="1"/>
  <c r="I132" i="7"/>
  <c r="J133" i="7"/>
  <c r="K133" i="7" s="1"/>
  <c r="L133" i="7" s="1"/>
  <c r="M133" i="7" s="1"/>
  <c r="N133" i="7" s="1"/>
  <c r="O133" i="7" s="1"/>
  <c r="I133" i="7"/>
  <c r="J134" i="7"/>
  <c r="K134" i="7" s="1"/>
  <c r="L134" i="7" s="1"/>
  <c r="M134" i="7" s="1"/>
  <c r="N134" i="7" s="1"/>
  <c r="O134" i="7" s="1"/>
  <c r="I134" i="7"/>
  <c r="J135" i="7"/>
  <c r="K135" i="7" s="1"/>
  <c r="L135" i="7" s="1"/>
  <c r="M135" i="7" s="1"/>
  <c r="N135" i="7" s="1"/>
  <c r="O135" i="7" s="1"/>
  <c r="I135" i="7"/>
  <c r="J136" i="7"/>
  <c r="K136" i="7" s="1"/>
  <c r="L136" i="7" s="1"/>
  <c r="M136" i="7" s="1"/>
  <c r="N136" i="7" s="1"/>
  <c r="O136" i="7" s="1"/>
  <c r="I136" i="7"/>
  <c r="J137" i="7"/>
  <c r="K137" i="7" s="1"/>
  <c r="L137" i="7" s="1"/>
  <c r="M137" i="7" s="1"/>
  <c r="N137" i="7" s="1"/>
  <c r="O137" i="7" s="1"/>
  <c r="I137" i="7"/>
  <c r="J138" i="7"/>
  <c r="K138" i="7" s="1"/>
  <c r="L138" i="7" s="1"/>
  <c r="M138" i="7" s="1"/>
  <c r="N138" i="7" s="1"/>
  <c r="O138" i="7" s="1"/>
  <c r="I138" i="7"/>
  <c r="J139" i="7"/>
  <c r="K139" i="7" s="1"/>
  <c r="L139" i="7" s="1"/>
  <c r="M139" i="7" s="1"/>
  <c r="N139" i="7" s="1"/>
  <c r="O139" i="7" s="1"/>
  <c r="I139" i="7"/>
  <c r="J140" i="7"/>
  <c r="K140" i="7" s="1"/>
  <c r="L140" i="7" s="1"/>
  <c r="M140" i="7" s="1"/>
  <c r="N140" i="7" s="1"/>
  <c r="O140" i="7" s="1"/>
  <c r="I140" i="7"/>
  <c r="J141" i="7"/>
  <c r="K141" i="7" s="1"/>
  <c r="L141" i="7" s="1"/>
  <c r="M141" i="7" s="1"/>
  <c r="N141" i="7" s="1"/>
  <c r="O141" i="7" s="1"/>
  <c r="I141" i="7"/>
  <c r="J142" i="7"/>
  <c r="K142" i="7" s="1"/>
  <c r="L142" i="7" s="1"/>
  <c r="M142" i="7" s="1"/>
  <c r="N142" i="7" s="1"/>
  <c r="O142" i="7" s="1"/>
  <c r="I142" i="7"/>
  <c r="J143" i="7"/>
  <c r="K143" i="7" s="1"/>
  <c r="L143" i="7" s="1"/>
  <c r="M143" i="7" s="1"/>
  <c r="N143" i="7" s="1"/>
  <c r="O143" i="7" s="1"/>
  <c r="I143" i="7"/>
  <c r="J144" i="7"/>
  <c r="K144" i="7" s="1"/>
  <c r="L144" i="7" s="1"/>
  <c r="M144" i="7" s="1"/>
  <c r="N144" i="7" s="1"/>
  <c r="O144" i="7" s="1"/>
  <c r="I144" i="7"/>
  <c r="J145" i="7"/>
  <c r="K145" i="7" s="1"/>
  <c r="L145" i="7" s="1"/>
  <c r="M145" i="7" s="1"/>
  <c r="N145" i="7" s="1"/>
  <c r="O145" i="7" s="1"/>
  <c r="I145" i="7"/>
  <c r="J146" i="7"/>
  <c r="K146" i="7" s="1"/>
  <c r="L146" i="7" s="1"/>
  <c r="M146" i="7" s="1"/>
  <c r="N146" i="7" s="1"/>
  <c r="O146" i="7" s="1"/>
  <c r="I146" i="7"/>
  <c r="J147" i="7"/>
  <c r="K147" i="7" s="1"/>
  <c r="L147" i="7" s="1"/>
  <c r="M147" i="7" s="1"/>
  <c r="N147" i="7" s="1"/>
  <c r="O147" i="7" s="1"/>
  <c r="I147" i="7"/>
  <c r="J148" i="7"/>
  <c r="K148" i="7" s="1"/>
  <c r="L148" i="7" s="1"/>
  <c r="M148" i="7" s="1"/>
  <c r="N148" i="7" s="1"/>
  <c r="O148" i="7" s="1"/>
  <c r="I148" i="7"/>
  <c r="J149" i="7"/>
  <c r="K149" i="7" s="1"/>
  <c r="L149" i="7" s="1"/>
  <c r="M149" i="7" s="1"/>
  <c r="N149" i="7" s="1"/>
  <c r="O149" i="7" s="1"/>
  <c r="I149" i="7"/>
  <c r="J150" i="7"/>
  <c r="K150" i="7" s="1"/>
  <c r="L150" i="7" s="1"/>
  <c r="M150" i="7" s="1"/>
  <c r="N150" i="7" s="1"/>
  <c r="O150" i="7" s="1"/>
  <c r="I150" i="7"/>
  <c r="J151" i="7"/>
  <c r="K151" i="7" s="1"/>
  <c r="L151" i="7" s="1"/>
  <c r="M151" i="7" s="1"/>
  <c r="N151" i="7" s="1"/>
  <c r="O151" i="7" s="1"/>
  <c r="I151" i="7"/>
  <c r="J152" i="7"/>
  <c r="K152" i="7" s="1"/>
  <c r="L152" i="7" s="1"/>
  <c r="M152" i="7" s="1"/>
  <c r="N152" i="7" s="1"/>
  <c r="O152" i="7" s="1"/>
  <c r="I152" i="7"/>
  <c r="J153" i="7"/>
  <c r="K153" i="7" s="1"/>
  <c r="L153" i="7" s="1"/>
  <c r="M153" i="7" s="1"/>
  <c r="N153" i="7" s="1"/>
  <c r="O153" i="7" s="1"/>
  <c r="I153" i="7"/>
  <c r="J154" i="7"/>
  <c r="K154" i="7" s="1"/>
  <c r="L154" i="7" s="1"/>
  <c r="M154" i="7" s="1"/>
  <c r="N154" i="7" s="1"/>
  <c r="O154" i="7" s="1"/>
  <c r="I154" i="7"/>
  <c r="J155" i="7"/>
  <c r="K155" i="7" s="1"/>
  <c r="L155" i="7" s="1"/>
  <c r="M155" i="7" s="1"/>
  <c r="N155" i="7" s="1"/>
  <c r="O155" i="7" s="1"/>
  <c r="I155" i="7"/>
  <c r="J156" i="7"/>
  <c r="K156" i="7" s="1"/>
  <c r="L156" i="7" s="1"/>
  <c r="M156" i="7" s="1"/>
  <c r="N156" i="7" s="1"/>
  <c r="O156" i="7" s="1"/>
  <c r="I156" i="7"/>
  <c r="J157" i="7"/>
  <c r="K157" i="7" s="1"/>
  <c r="L157" i="7" s="1"/>
  <c r="M157" i="7" s="1"/>
  <c r="N157" i="7" s="1"/>
  <c r="O157" i="7" s="1"/>
  <c r="I157" i="7"/>
  <c r="J158" i="7"/>
  <c r="K158" i="7" s="1"/>
  <c r="L158" i="7" s="1"/>
  <c r="M158" i="7" s="1"/>
  <c r="N158" i="7" s="1"/>
  <c r="O158" i="7" s="1"/>
  <c r="I158" i="7"/>
  <c r="J159" i="7"/>
  <c r="K159" i="7" s="1"/>
  <c r="L159" i="7" s="1"/>
  <c r="M159" i="7" s="1"/>
  <c r="N159" i="7" s="1"/>
  <c r="O159" i="7" s="1"/>
  <c r="I159" i="7"/>
  <c r="J160" i="7"/>
  <c r="K160" i="7" s="1"/>
  <c r="L160" i="7" s="1"/>
  <c r="M160" i="7" s="1"/>
  <c r="N160" i="7" s="1"/>
  <c r="O160" i="7" s="1"/>
  <c r="I160" i="7"/>
  <c r="J161" i="7"/>
  <c r="K161" i="7" s="1"/>
  <c r="L161" i="7" s="1"/>
  <c r="M161" i="7" s="1"/>
  <c r="N161" i="7" s="1"/>
  <c r="O161" i="7" s="1"/>
  <c r="I161" i="7"/>
  <c r="J162" i="7"/>
  <c r="K162" i="7" s="1"/>
  <c r="L162" i="7" s="1"/>
  <c r="M162" i="7" s="1"/>
  <c r="N162" i="7" s="1"/>
  <c r="O162" i="7" s="1"/>
  <c r="I162" i="7"/>
  <c r="J163" i="7"/>
  <c r="K163" i="7" s="1"/>
  <c r="L163" i="7" s="1"/>
  <c r="M163" i="7" s="1"/>
  <c r="N163" i="7" s="1"/>
  <c r="O163" i="7" s="1"/>
  <c r="I163" i="7"/>
  <c r="J164" i="7"/>
  <c r="K164" i="7" s="1"/>
  <c r="L164" i="7" s="1"/>
  <c r="M164" i="7" s="1"/>
  <c r="N164" i="7" s="1"/>
  <c r="O164" i="7" s="1"/>
  <c r="I164" i="7"/>
  <c r="J165" i="7"/>
  <c r="K165" i="7" s="1"/>
  <c r="L165" i="7" s="1"/>
  <c r="M165" i="7" s="1"/>
  <c r="N165" i="7" s="1"/>
  <c r="O165" i="7" s="1"/>
  <c r="I165" i="7"/>
  <c r="J166" i="7"/>
  <c r="K166" i="7" s="1"/>
  <c r="L166" i="7" s="1"/>
  <c r="M166" i="7" s="1"/>
  <c r="N166" i="7" s="1"/>
  <c r="O166" i="7" s="1"/>
  <c r="I166" i="7"/>
  <c r="J167" i="7"/>
  <c r="K167" i="7" s="1"/>
  <c r="L167" i="7" s="1"/>
  <c r="M167" i="7" s="1"/>
  <c r="N167" i="7" s="1"/>
  <c r="O167" i="7" s="1"/>
  <c r="I167" i="7"/>
  <c r="J168" i="7"/>
  <c r="K168" i="7" s="1"/>
  <c r="L168" i="7" s="1"/>
  <c r="M168" i="7" s="1"/>
  <c r="N168" i="7" s="1"/>
  <c r="O168" i="7" s="1"/>
  <c r="I168" i="7"/>
  <c r="J169" i="7"/>
  <c r="K169" i="7" s="1"/>
  <c r="L169" i="7" s="1"/>
  <c r="M169" i="7" s="1"/>
  <c r="N169" i="7" s="1"/>
  <c r="O169" i="7" s="1"/>
  <c r="I169" i="7"/>
  <c r="J170" i="7"/>
  <c r="K170" i="7" s="1"/>
  <c r="L170" i="7" s="1"/>
  <c r="M170" i="7" s="1"/>
  <c r="N170" i="7" s="1"/>
  <c r="O170" i="7" s="1"/>
  <c r="I170" i="7"/>
  <c r="J171" i="7"/>
  <c r="K171" i="7" s="1"/>
  <c r="L171" i="7" s="1"/>
  <c r="M171" i="7" s="1"/>
  <c r="N171" i="7" s="1"/>
  <c r="O171" i="7" s="1"/>
  <c r="P171" i="7" s="1"/>
  <c r="I171" i="7"/>
  <c r="J172" i="7"/>
  <c r="K172" i="7" s="1"/>
  <c r="L172" i="7" s="1"/>
  <c r="M172" i="7" s="1"/>
  <c r="N172" i="7" s="1"/>
  <c r="O172" i="7" s="1"/>
  <c r="I172" i="7"/>
  <c r="J173" i="7"/>
  <c r="K173" i="7" s="1"/>
  <c r="L173" i="7" s="1"/>
  <c r="M173" i="7" s="1"/>
  <c r="N173" i="7" s="1"/>
  <c r="O173" i="7" s="1"/>
  <c r="P173" i="7" s="1"/>
  <c r="I173" i="7"/>
  <c r="J174" i="7"/>
  <c r="K174" i="7" s="1"/>
  <c r="L174" i="7" s="1"/>
  <c r="M174" i="7" s="1"/>
  <c r="N174" i="7" s="1"/>
  <c r="O174" i="7" s="1"/>
  <c r="P174" i="7" s="1"/>
  <c r="I174" i="7"/>
  <c r="J175" i="7"/>
  <c r="K175" i="7" s="1"/>
  <c r="L175" i="7" s="1"/>
  <c r="M175" i="7" s="1"/>
  <c r="N175" i="7" s="1"/>
  <c r="O175" i="7" s="1"/>
  <c r="I175" i="7"/>
  <c r="J176" i="7"/>
  <c r="K176" i="7" s="1"/>
  <c r="L176" i="7" s="1"/>
  <c r="M176" i="7" s="1"/>
  <c r="N176" i="7" s="1"/>
  <c r="O176" i="7" s="1"/>
  <c r="I176" i="7"/>
  <c r="J177" i="7"/>
  <c r="K177" i="7" s="1"/>
  <c r="L177" i="7" s="1"/>
  <c r="M177" i="7" s="1"/>
  <c r="N177" i="7" s="1"/>
  <c r="O177" i="7" s="1"/>
  <c r="P177" i="7" s="1"/>
  <c r="I177" i="7"/>
  <c r="J178" i="7"/>
  <c r="K178" i="7" s="1"/>
  <c r="L178" i="7" s="1"/>
  <c r="M178" i="7" s="1"/>
  <c r="N178" i="7" s="1"/>
  <c r="O178" i="7" s="1"/>
  <c r="P178" i="7" s="1"/>
  <c r="I178" i="7"/>
  <c r="J179" i="7"/>
  <c r="K179" i="7" s="1"/>
  <c r="L179" i="7" s="1"/>
  <c r="M179" i="7" s="1"/>
  <c r="N179" i="7" s="1"/>
  <c r="O179" i="7" s="1"/>
  <c r="P179" i="7" s="1"/>
  <c r="I179" i="7"/>
  <c r="J180" i="7"/>
  <c r="K180" i="7" s="1"/>
  <c r="L180" i="7" s="1"/>
  <c r="M180" i="7" s="1"/>
  <c r="N180" i="7" s="1"/>
  <c r="O180" i="7" s="1"/>
  <c r="P180" i="7" s="1"/>
  <c r="I180" i="7"/>
  <c r="J181" i="7"/>
  <c r="K181" i="7" s="1"/>
  <c r="L181" i="7" s="1"/>
  <c r="M181" i="7" s="1"/>
  <c r="N181" i="7" s="1"/>
  <c r="O181" i="7" s="1"/>
  <c r="P181" i="7" s="1"/>
  <c r="I181" i="7"/>
  <c r="J182" i="7"/>
  <c r="K182" i="7" s="1"/>
  <c r="L182" i="7" s="1"/>
  <c r="M182" i="7" s="1"/>
  <c r="N182" i="7" s="1"/>
  <c r="O182" i="7" s="1"/>
  <c r="I182" i="7"/>
  <c r="J183" i="7"/>
  <c r="K183" i="7" s="1"/>
  <c r="L183" i="7" s="1"/>
  <c r="M183" i="7" s="1"/>
  <c r="N183" i="7" s="1"/>
  <c r="O183" i="7" s="1"/>
  <c r="I183" i="7"/>
  <c r="J184" i="7"/>
  <c r="K184" i="7" s="1"/>
  <c r="L184" i="7" s="1"/>
  <c r="M184" i="7" s="1"/>
  <c r="N184" i="7" s="1"/>
  <c r="O184" i="7" s="1"/>
  <c r="I184" i="7"/>
  <c r="J185" i="7"/>
  <c r="K185" i="7" s="1"/>
  <c r="L185" i="7" s="1"/>
  <c r="M185" i="7" s="1"/>
  <c r="N185" i="7" s="1"/>
  <c r="O185" i="7" s="1"/>
  <c r="I185" i="7"/>
  <c r="J186" i="7"/>
  <c r="K186" i="7" s="1"/>
  <c r="L186" i="7" s="1"/>
  <c r="M186" i="7" s="1"/>
  <c r="N186" i="7" s="1"/>
  <c r="O186" i="7" s="1"/>
  <c r="I186" i="7"/>
  <c r="J187" i="7"/>
  <c r="K187" i="7" s="1"/>
  <c r="L187" i="7" s="1"/>
  <c r="M187" i="7" s="1"/>
  <c r="N187" i="7" s="1"/>
  <c r="O187" i="7" s="1"/>
  <c r="I187" i="7"/>
  <c r="J188" i="7"/>
  <c r="K188" i="7" s="1"/>
  <c r="L188" i="7" s="1"/>
  <c r="M188" i="7" s="1"/>
  <c r="N188" i="7" s="1"/>
  <c r="O188" i="7" s="1"/>
  <c r="I188" i="7"/>
  <c r="J189" i="7"/>
  <c r="K189" i="7" s="1"/>
  <c r="L189" i="7" s="1"/>
  <c r="M189" i="7" s="1"/>
  <c r="N189" i="7" s="1"/>
  <c r="O189" i="7" s="1"/>
  <c r="I189" i="7"/>
  <c r="I190" i="7"/>
  <c r="J190" i="7"/>
  <c r="K190" i="7" s="1"/>
  <c r="L190" i="7" s="1"/>
  <c r="M190" i="7" s="1"/>
  <c r="N190" i="7" s="1"/>
  <c r="O190" i="7" s="1"/>
  <c r="J191" i="7"/>
  <c r="K191" i="7" s="1"/>
  <c r="L191" i="7" s="1"/>
  <c r="M191" i="7" s="1"/>
  <c r="N191" i="7" s="1"/>
  <c r="O191" i="7" s="1"/>
  <c r="I191" i="7"/>
  <c r="J192" i="7"/>
  <c r="K192" i="7" s="1"/>
  <c r="L192" i="7" s="1"/>
  <c r="M192" i="7" s="1"/>
  <c r="N192" i="7" s="1"/>
  <c r="O192" i="7" s="1"/>
  <c r="I192" i="7"/>
  <c r="J193" i="7"/>
  <c r="K193" i="7" s="1"/>
  <c r="L193" i="7" s="1"/>
  <c r="M193" i="7" s="1"/>
  <c r="N193" i="7" s="1"/>
  <c r="O193" i="7" s="1"/>
  <c r="I193" i="7"/>
  <c r="J194" i="7"/>
  <c r="K194" i="7" s="1"/>
  <c r="L194" i="7" s="1"/>
  <c r="M194" i="7" s="1"/>
  <c r="N194" i="7" s="1"/>
  <c r="O194" i="7" s="1"/>
  <c r="I194" i="7"/>
  <c r="J195" i="7"/>
  <c r="K195" i="7" s="1"/>
  <c r="L195" i="7" s="1"/>
  <c r="M195" i="7" s="1"/>
  <c r="N195" i="7" s="1"/>
  <c r="O195" i="7" s="1"/>
  <c r="I195" i="7"/>
  <c r="J196" i="7"/>
  <c r="K196" i="7" s="1"/>
  <c r="L196" i="7" s="1"/>
  <c r="M196" i="7" s="1"/>
  <c r="N196" i="7" s="1"/>
  <c r="O196" i="7" s="1"/>
  <c r="I196" i="7"/>
  <c r="J197" i="7"/>
  <c r="K197" i="7" s="1"/>
  <c r="L197" i="7" s="1"/>
  <c r="M197" i="7" s="1"/>
  <c r="N197" i="7" s="1"/>
  <c r="O197" i="7" s="1"/>
  <c r="I197" i="7"/>
  <c r="J198" i="7"/>
  <c r="K198" i="7" s="1"/>
  <c r="L198" i="7" s="1"/>
  <c r="M198" i="7" s="1"/>
  <c r="N198" i="7" s="1"/>
  <c r="O198" i="7" s="1"/>
  <c r="I198" i="7"/>
  <c r="J199" i="7"/>
  <c r="K199" i="7" s="1"/>
  <c r="L199" i="7" s="1"/>
  <c r="M199" i="7" s="1"/>
  <c r="N199" i="7" s="1"/>
  <c r="O199" i="7" s="1"/>
  <c r="I199" i="7"/>
  <c r="J200" i="7"/>
  <c r="K200" i="7" s="1"/>
  <c r="L200" i="7" s="1"/>
  <c r="M200" i="7" s="1"/>
  <c r="N200" i="7" s="1"/>
  <c r="O200" i="7" s="1"/>
  <c r="I200" i="7"/>
  <c r="J201" i="7"/>
  <c r="K201" i="7" s="1"/>
  <c r="L201" i="7" s="1"/>
  <c r="M201" i="7" s="1"/>
  <c r="N201" i="7" s="1"/>
  <c r="O201" i="7" s="1"/>
  <c r="I201" i="7"/>
  <c r="J202" i="7"/>
  <c r="K202" i="7" s="1"/>
  <c r="L202" i="7" s="1"/>
  <c r="M202" i="7" s="1"/>
  <c r="N202" i="7" s="1"/>
  <c r="O202" i="7" s="1"/>
  <c r="I202" i="7"/>
  <c r="J203" i="7"/>
  <c r="K203" i="7" s="1"/>
  <c r="L203" i="7" s="1"/>
  <c r="M203" i="7" s="1"/>
  <c r="N203" i="7" s="1"/>
  <c r="O203" i="7" s="1"/>
  <c r="I203" i="7"/>
  <c r="J204" i="7"/>
  <c r="K204" i="7" s="1"/>
  <c r="L204" i="7" s="1"/>
  <c r="M204" i="7" s="1"/>
  <c r="N204" i="7" s="1"/>
  <c r="O204" i="7" s="1"/>
  <c r="I204" i="7"/>
  <c r="J205" i="7"/>
  <c r="K205" i="7" s="1"/>
  <c r="L205" i="7" s="1"/>
  <c r="M205" i="7" s="1"/>
  <c r="N205" i="7" s="1"/>
  <c r="O205" i="7" s="1"/>
  <c r="I205" i="7"/>
  <c r="J206" i="7"/>
  <c r="K206" i="7" s="1"/>
  <c r="L206" i="7" s="1"/>
  <c r="M206" i="7" s="1"/>
  <c r="N206" i="7" s="1"/>
  <c r="O206" i="7" s="1"/>
  <c r="I206" i="7"/>
  <c r="J207" i="7"/>
  <c r="K207" i="7" s="1"/>
  <c r="L207" i="7" s="1"/>
  <c r="M207" i="7" s="1"/>
  <c r="N207" i="7" s="1"/>
  <c r="O207" i="7" s="1"/>
  <c r="I207" i="7"/>
  <c r="J208" i="7"/>
  <c r="K208" i="7" s="1"/>
  <c r="L208" i="7" s="1"/>
  <c r="M208" i="7" s="1"/>
  <c r="N208" i="7" s="1"/>
  <c r="O208" i="7" s="1"/>
  <c r="I208" i="7"/>
  <c r="I209" i="7"/>
  <c r="J209" i="7"/>
  <c r="K209" i="7" s="1"/>
  <c r="L209" i="7" s="1"/>
  <c r="M209" i="7" s="1"/>
  <c r="N209" i="7" s="1"/>
  <c r="O209" i="7" s="1"/>
  <c r="I210" i="7"/>
  <c r="J210" i="7"/>
  <c r="K210" i="7" s="1"/>
  <c r="L210" i="7" s="1"/>
  <c r="M210" i="7" s="1"/>
  <c r="N210" i="7" s="1"/>
  <c r="O210" i="7" s="1"/>
  <c r="I211" i="7"/>
  <c r="J211" i="7"/>
  <c r="K211" i="7" s="1"/>
  <c r="L211" i="7" s="1"/>
  <c r="M211" i="7" s="1"/>
  <c r="N211" i="7" s="1"/>
  <c r="O211" i="7" s="1"/>
  <c r="I212" i="7"/>
  <c r="J212" i="7"/>
  <c r="K212" i="7" s="1"/>
  <c r="L212" i="7" s="1"/>
  <c r="M212" i="7" s="1"/>
  <c r="N212" i="7" s="1"/>
  <c r="O212" i="7" s="1"/>
  <c r="J213" i="7"/>
  <c r="K213" i="7" s="1"/>
  <c r="L213" i="7" s="1"/>
  <c r="M213" i="7" s="1"/>
  <c r="N213" i="7" s="1"/>
  <c r="O213" i="7" s="1"/>
  <c r="I213" i="7"/>
  <c r="I214" i="7"/>
  <c r="J214" i="7"/>
  <c r="K214" i="7" s="1"/>
  <c r="L214" i="7" s="1"/>
  <c r="M214" i="7" s="1"/>
  <c r="N214" i="7" s="1"/>
  <c r="O214" i="7" s="1"/>
  <c r="I215" i="7"/>
  <c r="J215" i="7"/>
  <c r="K215" i="7" s="1"/>
  <c r="L215" i="7" s="1"/>
  <c r="M215" i="7" s="1"/>
  <c r="N215" i="7" s="1"/>
  <c r="O215" i="7" s="1"/>
  <c r="I216" i="7"/>
  <c r="J216" i="7"/>
  <c r="K216" i="7" s="1"/>
  <c r="L216" i="7" s="1"/>
  <c r="M216" i="7" s="1"/>
  <c r="N216" i="7" s="1"/>
  <c r="O216" i="7" s="1"/>
  <c r="J217" i="7"/>
  <c r="K217" i="7" s="1"/>
  <c r="L217" i="7" s="1"/>
  <c r="M217" i="7" s="1"/>
  <c r="N217" i="7" s="1"/>
  <c r="O217" i="7" s="1"/>
  <c r="I217" i="7"/>
  <c r="I218" i="7"/>
  <c r="J218" i="7"/>
  <c r="K218" i="7" s="1"/>
  <c r="L218" i="7" s="1"/>
  <c r="M218" i="7" s="1"/>
  <c r="N218" i="7" s="1"/>
  <c r="O218" i="7" s="1"/>
  <c r="J219" i="7"/>
  <c r="K219" i="7" s="1"/>
  <c r="L219" i="7" s="1"/>
  <c r="M219" i="7" s="1"/>
  <c r="N219" i="7" s="1"/>
  <c r="O219" i="7" s="1"/>
  <c r="I219" i="7"/>
  <c r="I220" i="7"/>
  <c r="J220" i="7"/>
  <c r="K220" i="7" s="1"/>
  <c r="L220" i="7" s="1"/>
  <c r="M220" i="7" s="1"/>
  <c r="N220" i="7" s="1"/>
  <c r="O220" i="7" s="1"/>
  <c r="J221" i="7"/>
  <c r="K221" i="7" s="1"/>
  <c r="L221" i="7" s="1"/>
  <c r="M221" i="7" s="1"/>
  <c r="N221" i="7" s="1"/>
  <c r="O221" i="7" s="1"/>
  <c r="I221" i="7"/>
  <c r="I222" i="7"/>
  <c r="J222" i="7"/>
  <c r="K222" i="7" s="1"/>
  <c r="L222" i="7" s="1"/>
  <c r="M222" i="7" s="1"/>
  <c r="N222" i="7" s="1"/>
  <c r="O222" i="7" s="1"/>
  <c r="I223" i="7"/>
  <c r="J223" i="7"/>
  <c r="K223" i="7" s="1"/>
  <c r="L223" i="7" s="1"/>
  <c r="M223" i="7" s="1"/>
  <c r="N223" i="7" s="1"/>
  <c r="O223" i="7" s="1"/>
  <c r="I224" i="7"/>
  <c r="J224" i="7"/>
  <c r="K224" i="7" s="1"/>
  <c r="L224" i="7" s="1"/>
  <c r="M224" i="7" s="1"/>
  <c r="N224" i="7" s="1"/>
  <c r="O224" i="7" s="1"/>
  <c r="I225" i="7"/>
  <c r="J225" i="7"/>
  <c r="K225" i="7" s="1"/>
  <c r="L225" i="7" s="1"/>
  <c r="M225" i="7" s="1"/>
  <c r="N225" i="7" s="1"/>
  <c r="O225" i="7" s="1"/>
  <c r="I226" i="7"/>
  <c r="J226" i="7"/>
  <c r="K226" i="7" s="1"/>
  <c r="L226" i="7" s="1"/>
  <c r="M226" i="7" s="1"/>
  <c r="N226" i="7" s="1"/>
  <c r="O226" i="7" s="1"/>
  <c r="I227" i="7"/>
  <c r="J227" i="7"/>
  <c r="K227" i="7" s="1"/>
  <c r="L227" i="7" s="1"/>
  <c r="M227" i="7" s="1"/>
  <c r="N227" i="7" s="1"/>
  <c r="O227" i="7" s="1"/>
  <c r="I228" i="7"/>
  <c r="J228" i="7"/>
  <c r="K228" i="7" s="1"/>
  <c r="L228" i="7" s="1"/>
  <c r="M228" i="7" s="1"/>
  <c r="N228" i="7" s="1"/>
  <c r="O228" i="7" s="1"/>
  <c r="J229" i="7"/>
  <c r="K229" i="7" s="1"/>
  <c r="L229" i="7" s="1"/>
  <c r="M229" i="7" s="1"/>
  <c r="N229" i="7" s="1"/>
  <c r="O229" i="7" s="1"/>
  <c r="I229" i="7"/>
  <c r="I230" i="7"/>
  <c r="J230" i="7"/>
  <c r="K230" i="7" s="1"/>
  <c r="L230" i="7" s="1"/>
  <c r="M230" i="7" s="1"/>
  <c r="N230" i="7" s="1"/>
  <c r="O230" i="7" s="1"/>
  <c r="P230" i="7" s="1"/>
  <c r="J231" i="7"/>
  <c r="K231" i="7" s="1"/>
  <c r="L231" i="7" s="1"/>
  <c r="M231" i="7" s="1"/>
  <c r="N231" i="7" s="1"/>
  <c r="O231" i="7" s="1"/>
  <c r="P231" i="7" s="1"/>
  <c r="I231" i="7"/>
  <c r="I232" i="7"/>
  <c r="J232" i="7"/>
  <c r="K232" i="7" s="1"/>
  <c r="L232" i="7" s="1"/>
  <c r="M232" i="7" s="1"/>
  <c r="N232" i="7" s="1"/>
  <c r="O232" i="7" s="1"/>
  <c r="J233" i="7"/>
  <c r="K233" i="7" s="1"/>
  <c r="L233" i="7" s="1"/>
  <c r="M233" i="7" s="1"/>
  <c r="N233" i="7" s="1"/>
  <c r="O233" i="7" s="1"/>
  <c r="I233" i="7"/>
  <c r="J234" i="7"/>
  <c r="K234" i="7" s="1"/>
  <c r="L234" i="7" s="1"/>
  <c r="M234" i="7" s="1"/>
  <c r="N234" i="7" s="1"/>
  <c r="O234" i="7" s="1"/>
  <c r="I234" i="7"/>
  <c r="J235" i="7"/>
  <c r="K235" i="7" s="1"/>
  <c r="L235" i="7" s="1"/>
  <c r="M235" i="7" s="1"/>
  <c r="N235" i="7" s="1"/>
  <c r="O235" i="7" s="1"/>
  <c r="I235" i="7"/>
  <c r="J236" i="7"/>
  <c r="K236" i="7" s="1"/>
  <c r="L236" i="7" s="1"/>
  <c r="M236" i="7" s="1"/>
  <c r="N236" i="7" s="1"/>
  <c r="O236" i="7" s="1"/>
  <c r="I236" i="7"/>
  <c r="J237" i="7"/>
  <c r="K237" i="7" s="1"/>
  <c r="L237" i="7" s="1"/>
  <c r="M237" i="7" s="1"/>
  <c r="N237" i="7" s="1"/>
  <c r="O237" i="7" s="1"/>
  <c r="P237" i="7" s="1"/>
  <c r="I237" i="7"/>
  <c r="I238" i="7"/>
  <c r="J238" i="7"/>
  <c r="K238" i="7" s="1"/>
  <c r="L238" i="7" s="1"/>
  <c r="M238" i="7" s="1"/>
  <c r="N238" i="7" s="1"/>
  <c r="O238" i="7" s="1"/>
  <c r="J239" i="7"/>
  <c r="K239" i="7" s="1"/>
  <c r="L239" i="7" s="1"/>
  <c r="M239" i="7" s="1"/>
  <c r="N239" i="7" s="1"/>
  <c r="O239" i="7" s="1"/>
  <c r="I239" i="7"/>
  <c r="J240" i="7"/>
  <c r="K240" i="7" s="1"/>
  <c r="L240" i="7" s="1"/>
  <c r="M240" i="7" s="1"/>
  <c r="N240" i="7" s="1"/>
  <c r="O240" i="7" s="1"/>
  <c r="I240" i="7"/>
  <c r="J241" i="7"/>
  <c r="K241" i="7" s="1"/>
  <c r="L241" i="7" s="1"/>
  <c r="M241" i="7" s="1"/>
  <c r="N241" i="7" s="1"/>
  <c r="O241" i="7" s="1"/>
  <c r="I241" i="7"/>
  <c r="J242" i="7"/>
  <c r="K242" i="7" s="1"/>
  <c r="L242" i="7" s="1"/>
  <c r="M242" i="7" s="1"/>
  <c r="N242" i="7" s="1"/>
  <c r="O242" i="7" s="1"/>
  <c r="P242" i="7" s="1"/>
  <c r="I242" i="7"/>
  <c r="J243" i="7"/>
  <c r="K243" i="7" s="1"/>
  <c r="L243" i="7" s="1"/>
  <c r="M243" i="7" s="1"/>
  <c r="N243" i="7" s="1"/>
  <c r="O243" i="7" s="1"/>
  <c r="I243" i="7"/>
  <c r="I244" i="7"/>
  <c r="J244" i="7"/>
  <c r="K244" i="7" s="1"/>
  <c r="L244" i="7" s="1"/>
  <c r="M244" i="7" s="1"/>
  <c r="N244" i="7" s="1"/>
  <c r="O244" i="7" s="1"/>
  <c r="P244" i="7" s="1"/>
  <c r="J245" i="7"/>
  <c r="K245" i="7" s="1"/>
  <c r="L245" i="7" s="1"/>
  <c r="M245" i="7" s="1"/>
  <c r="N245" i="7" s="1"/>
  <c r="O245" i="7" s="1"/>
  <c r="I245" i="7"/>
  <c r="I246" i="7"/>
  <c r="J246" i="7"/>
  <c r="K246" i="7" s="1"/>
  <c r="L246" i="7" s="1"/>
  <c r="M246" i="7" s="1"/>
  <c r="N246" i="7" s="1"/>
  <c r="O246" i="7" s="1"/>
  <c r="P246" i="7" s="1"/>
  <c r="I247" i="7"/>
  <c r="J247" i="7"/>
  <c r="K247" i="7" s="1"/>
  <c r="L247" i="7" s="1"/>
  <c r="M247" i="7" s="1"/>
  <c r="N247" i="7" s="1"/>
  <c r="O247" i="7" s="1"/>
  <c r="I248" i="7"/>
  <c r="J248" i="7"/>
  <c r="K248" i="7" s="1"/>
  <c r="L248" i="7" s="1"/>
  <c r="M248" i="7" s="1"/>
  <c r="N248" i="7" s="1"/>
  <c r="O248" i="7" s="1"/>
  <c r="P248" i="7" s="1"/>
  <c r="I249" i="7"/>
  <c r="J249" i="7"/>
  <c r="K249" i="7" s="1"/>
  <c r="L249" i="7" s="1"/>
  <c r="M249" i="7" s="1"/>
  <c r="N249" i="7" s="1"/>
  <c r="O249" i="7" s="1"/>
  <c r="I250" i="7"/>
  <c r="J250" i="7"/>
  <c r="K250" i="7" s="1"/>
  <c r="L250" i="7" s="1"/>
  <c r="M250" i="7" s="1"/>
  <c r="N250" i="7" s="1"/>
  <c r="O250" i="7" s="1"/>
  <c r="P250" i="7" s="1"/>
  <c r="I251" i="7"/>
  <c r="J251" i="7"/>
  <c r="K251" i="7" s="1"/>
  <c r="L251" i="7" s="1"/>
  <c r="M251" i="7" s="1"/>
  <c r="N251" i="7" s="1"/>
  <c r="O251" i="7" s="1"/>
  <c r="I252" i="7"/>
  <c r="J252" i="7"/>
  <c r="K252" i="7" s="1"/>
  <c r="L252" i="7" s="1"/>
  <c r="M252" i="7" s="1"/>
  <c r="N252" i="7" s="1"/>
  <c r="O252" i="7" s="1"/>
  <c r="J282" i="7"/>
  <c r="K282" i="7" s="1"/>
  <c r="L282" i="7" s="1"/>
  <c r="M282" i="7" s="1"/>
  <c r="N282" i="7" s="1"/>
  <c r="O282" i="7" s="1"/>
  <c r="P282" i="7" s="1"/>
  <c r="I282" i="7"/>
  <c r="J283" i="7"/>
  <c r="K283" i="7" s="1"/>
  <c r="L283" i="7" s="1"/>
  <c r="M283" i="7" s="1"/>
  <c r="N283" i="7" s="1"/>
  <c r="O283" i="7" s="1"/>
  <c r="I283" i="7"/>
  <c r="I284" i="7"/>
  <c r="J284" i="7"/>
  <c r="K284" i="7" s="1"/>
  <c r="L284" i="7" s="1"/>
  <c r="M284" i="7" s="1"/>
  <c r="N284" i="7" s="1"/>
  <c r="O284" i="7" s="1"/>
  <c r="J285" i="7"/>
  <c r="K285" i="7" s="1"/>
  <c r="L285" i="7" s="1"/>
  <c r="M285" i="7" s="1"/>
  <c r="N285" i="7" s="1"/>
  <c r="O285" i="7" s="1"/>
  <c r="I285" i="7"/>
  <c r="J286" i="7"/>
  <c r="K286" i="7" s="1"/>
  <c r="L286" i="7" s="1"/>
  <c r="M286" i="7" s="1"/>
  <c r="N286" i="7" s="1"/>
  <c r="O286" i="7" s="1"/>
  <c r="I286" i="7"/>
  <c r="I287" i="7"/>
  <c r="J287" i="7"/>
  <c r="K287" i="7" s="1"/>
  <c r="L287" i="7" s="1"/>
  <c r="M287" i="7" s="1"/>
  <c r="N287" i="7" s="1"/>
  <c r="O287" i="7" s="1"/>
  <c r="J288" i="7"/>
  <c r="K288" i="7" s="1"/>
  <c r="L288" i="7" s="1"/>
  <c r="M288" i="7" s="1"/>
  <c r="N288" i="7" s="1"/>
  <c r="O288" i="7" s="1"/>
  <c r="I288" i="7"/>
  <c r="J289" i="7"/>
  <c r="K289" i="7" s="1"/>
  <c r="L289" i="7" s="1"/>
  <c r="M289" i="7" s="1"/>
  <c r="N289" i="7" s="1"/>
  <c r="O289" i="7" s="1"/>
  <c r="P289" i="7" s="1"/>
  <c r="I289" i="7"/>
  <c r="J290" i="7"/>
  <c r="K290" i="7" s="1"/>
  <c r="L290" i="7" s="1"/>
  <c r="M290" i="7" s="1"/>
  <c r="N290" i="7" s="1"/>
  <c r="O290" i="7" s="1"/>
  <c r="I290" i="7"/>
  <c r="J291" i="7"/>
  <c r="K291" i="7" s="1"/>
  <c r="L291" i="7" s="1"/>
  <c r="M291" i="7" s="1"/>
  <c r="N291" i="7" s="1"/>
  <c r="O291" i="7" s="1"/>
  <c r="I291" i="7"/>
  <c r="J292" i="7"/>
  <c r="K292" i="7" s="1"/>
  <c r="L292" i="7" s="1"/>
  <c r="M292" i="7" s="1"/>
  <c r="N292" i="7" s="1"/>
  <c r="O292" i="7" s="1"/>
  <c r="I292" i="7"/>
  <c r="J293" i="7"/>
  <c r="K293" i="7" s="1"/>
  <c r="L293" i="7" s="1"/>
  <c r="M293" i="7" s="1"/>
  <c r="N293" i="7" s="1"/>
  <c r="O293" i="7" s="1"/>
  <c r="P293" i="7" s="1"/>
  <c r="I293" i="7"/>
  <c r="J294" i="7"/>
  <c r="K294" i="7" s="1"/>
  <c r="L294" i="7" s="1"/>
  <c r="M294" i="7" s="1"/>
  <c r="N294" i="7" s="1"/>
  <c r="O294" i="7" s="1"/>
  <c r="I294" i="7"/>
  <c r="J295" i="7"/>
  <c r="K295" i="7" s="1"/>
  <c r="L295" i="7" s="1"/>
  <c r="M295" i="7" s="1"/>
  <c r="N295" i="7" s="1"/>
  <c r="O295" i="7" s="1"/>
  <c r="I295" i="7"/>
  <c r="J296" i="7"/>
  <c r="K296" i="7" s="1"/>
  <c r="L296" i="7" s="1"/>
  <c r="M296" i="7" s="1"/>
  <c r="N296" i="7" s="1"/>
  <c r="O296" i="7" s="1"/>
  <c r="I296" i="7"/>
  <c r="J297" i="7"/>
  <c r="K297" i="7" s="1"/>
  <c r="L297" i="7" s="1"/>
  <c r="M297" i="7" s="1"/>
  <c r="N297" i="7" s="1"/>
  <c r="O297" i="7" s="1"/>
  <c r="I297" i="7"/>
  <c r="I298" i="7"/>
  <c r="J298" i="7"/>
  <c r="K298" i="7" s="1"/>
  <c r="L298" i="7" s="1"/>
  <c r="M298" i="7" s="1"/>
  <c r="N298" i="7" s="1"/>
  <c r="O298" i="7" s="1"/>
  <c r="I299" i="7"/>
  <c r="J299" i="7"/>
  <c r="K299" i="7" s="1"/>
  <c r="L299" i="7" s="1"/>
  <c r="M299" i="7" s="1"/>
  <c r="N299" i="7" s="1"/>
  <c r="O299" i="7" s="1"/>
  <c r="I300" i="7"/>
  <c r="J300" i="7"/>
  <c r="K300" i="7" s="1"/>
  <c r="L300" i="7" s="1"/>
  <c r="M300" i="7" s="1"/>
  <c r="N300" i="7" s="1"/>
  <c r="O300" i="7" s="1"/>
  <c r="P300" i="7" s="1"/>
  <c r="I301" i="7"/>
  <c r="J301" i="7"/>
  <c r="K301" i="7" s="1"/>
  <c r="L301" i="7" s="1"/>
  <c r="M301" i="7" s="1"/>
  <c r="N301" i="7" s="1"/>
  <c r="O301" i="7" s="1"/>
  <c r="J302" i="7"/>
  <c r="K302" i="7" s="1"/>
  <c r="L302" i="7" s="1"/>
  <c r="M302" i="7" s="1"/>
  <c r="N302" i="7" s="1"/>
  <c r="O302" i="7" s="1"/>
  <c r="P302" i="7" s="1"/>
  <c r="I302" i="7"/>
  <c r="I303" i="7"/>
  <c r="J303" i="7"/>
  <c r="K303" i="7" s="1"/>
  <c r="L303" i="7" s="1"/>
  <c r="M303" i="7" s="1"/>
  <c r="N303" i="7" s="1"/>
  <c r="O303" i="7" s="1"/>
  <c r="I304" i="7"/>
  <c r="J304" i="7"/>
  <c r="K304" i="7" s="1"/>
  <c r="L304" i="7" s="1"/>
  <c r="M304" i="7" s="1"/>
  <c r="N304" i="7" s="1"/>
  <c r="O304" i="7" s="1"/>
  <c r="J305" i="7"/>
  <c r="K305" i="7" s="1"/>
  <c r="L305" i="7" s="1"/>
  <c r="M305" i="7" s="1"/>
  <c r="N305" i="7" s="1"/>
  <c r="O305" i="7" s="1"/>
  <c r="P305" i="7" s="1"/>
  <c r="I305" i="7"/>
  <c r="J306" i="7"/>
  <c r="K306" i="7" s="1"/>
  <c r="L306" i="7" s="1"/>
  <c r="M306" i="7" s="1"/>
  <c r="N306" i="7" s="1"/>
  <c r="O306" i="7" s="1"/>
  <c r="P306" i="7" s="1"/>
  <c r="I306" i="7"/>
  <c r="I307" i="7"/>
  <c r="J307" i="7"/>
  <c r="K307" i="7" s="1"/>
  <c r="L307" i="7" s="1"/>
  <c r="M307" i="7" s="1"/>
  <c r="N307" i="7" s="1"/>
  <c r="O307" i="7" s="1"/>
  <c r="I308" i="7"/>
  <c r="J308" i="7"/>
  <c r="K308" i="7" s="1"/>
  <c r="L308" i="7" s="1"/>
  <c r="M308" i="7" s="1"/>
  <c r="N308" i="7" s="1"/>
  <c r="O308" i="7" s="1"/>
  <c r="I309" i="7"/>
  <c r="J309" i="7"/>
  <c r="K309" i="7" s="1"/>
  <c r="L309" i="7" s="1"/>
  <c r="M309" i="7" s="1"/>
  <c r="N309" i="7" s="1"/>
  <c r="O309" i="7" s="1"/>
  <c r="I310" i="7"/>
  <c r="J310" i="7"/>
  <c r="K310" i="7" s="1"/>
  <c r="L310" i="7" s="1"/>
  <c r="M310" i="7" s="1"/>
  <c r="N310" i="7" s="1"/>
  <c r="O310" i="7" s="1"/>
  <c r="P310" i="7" s="1"/>
  <c r="J311" i="7"/>
  <c r="K311" i="7" s="1"/>
  <c r="L311" i="7" s="1"/>
  <c r="M311" i="7" s="1"/>
  <c r="N311" i="7" s="1"/>
  <c r="O311" i="7" s="1"/>
  <c r="I311" i="7"/>
  <c r="J312" i="7"/>
  <c r="K312" i="7" s="1"/>
  <c r="L312" i="7" s="1"/>
  <c r="M312" i="7" s="1"/>
  <c r="N312" i="7" s="1"/>
  <c r="O312" i="7" s="1"/>
  <c r="I312" i="7"/>
  <c r="I313" i="7"/>
  <c r="J313" i="7"/>
  <c r="K313" i="7" s="1"/>
  <c r="L313" i="7" s="1"/>
  <c r="M313" i="7" s="1"/>
  <c r="N313" i="7" s="1"/>
  <c r="O313" i="7" s="1"/>
  <c r="J314" i="7"/>
  <c r="K314" i="7" s="1"/>
  <c r="L314" i="7" s="1"/>
  <c r="M314" i="7" s="1"/>
  <c r="N314" i="7" s="1"/>
  <c r="O314" i="7" s="1"/>
  <c r="I314" i="7"/>
  <c r="I315" i="7"/>
  <c r="J315" i="7"/>
  <c r="K315" i="7" s="1"/>
  <c r="L315" i="7" s="1"/>
  <c r="M315" i="7" s="1"/>
  <c r="N315" i="7" s="1"/>
  <c r="O315" i="7" s="1"/>
  <c r="P315" i="7" s="1"/>
  <c r="I316" i="7"/>
  <c r="J316" i="7"/>
  <c r="K316" i="7" s="1"/>
  <c r="L316" i="7" s="1"/>
  <c r="M316" i="7" s="1"/>
  <c r="N316" i="7" s="1"/>
  <c r="O316" i="7" s="1"/>
  <c r="P316" i="7" s="1"/>
  <c r="I317" i="7"/>
  <c r="J317" i="7"/>
  <c r="K317" i="7" s="1"/>
  <c r="L317" i="7" s="1"/>
  <c r="M317" i="7" s="1"/>
  <c r="N317" i="7" s="1"/>
  <c r="O317" i="7" s="1"/>
  <c r="I318" i="7"/>
  <c r="J318" i="7"/>
  <c r="K318" i="7" s="1"/>
  <c r="L318" i="7" s="1"/>
  <c r="M318" i="7" s="1"/>
  <c r="N318" i="7" s="1"/>
  <c r="O318" i="7" s="1"/>
  <c r="I319" i="7"/>
  <c r="J319" i="7"/>
  <c r="K319" i="7" s="1"/>
  <c r="L319" i="7" s="1"/>
  <c r="M319" i="7" s="1"/>
  <c r="N319" i="7" s="1"/>
  <c r="O319" i="7" s="1"/>
  <c r="P319" i="7" s="1"/>
  <c r="I320" i="7"/>
  <c r="J320" i="7"/>
  <c r="K320" i="7" s="1"/>
  <c r="L320" i="7" s="1"/>
  <c r="M320" i="7" s="1"/>
  <c r="N320" i="7" s="1"/>
  <c r="O320" i="7" s="1"/>
  <c r="I321" i="7"/>
  <c r="J321" i="7"/>
  <c r="K321" i="7" s="1"/>
  <c r="L321" i="7" s="1"/>
  <c r="M321" i="7" s="1"/>
  <c r="N321" i="7" s="1"/>
  <c r="O321" i="7" s="1"/>
  <c r="I322" i="7"/>
  <c r="J322" i="7"/>
  <c r="K322" i="7" s="1"/>
  <c r="L322" i="7" s="1"/>
  <c r="M322" i="7" s="1"/>
  <c r="N322" i="7" s="1"/>
  <c r="O322" i="7" s="1"/>
  <c r="I323" i="7"/>
  <c r="J323" i="7"/>
  <c r="K323" i="7" s="1"/>
  <c r="L323" i="7" s="1"/>
  <c r="M323" i="7" s="1"/>
  <c r="N323" i="7" s="1"/>
  <c r="O323" i="7" s="1"/>
  <c r="I324" i="7"/>
  <c r="J324" i="7"/>
  <c r="K324" i="7" s="1"/>
  <c r="L324" i="7" s="1"/>
  <c r="M324" i="7" s="1"/>
  <c r="N324" i="7" s="1"/>
  <c r="O324" i="7" s="1"/>
  <c r="I325" i="7"/>
  <c r="J325" i="7"/>
  <c r="K325" i="7" s="1"/>
  <c r="L325" i="7" s="1"/>
  <c r="M325" i="7" s="1"/>
  <c r="N325" i="7" s="1"/>
  <c r="O325" i="7" s="1"/>
  <c r="I326" i="7"/>
  <c r="J326" i="7"/>
  <c r="K326" i="7" s="1"/>
  <c r="L326" i="7" s="1"/>
  <c r="M326" i="7" s="1"/>
  <c r="N326" i="7" s="1"/>
  <c r="O326" i="7" s="1"/>
  <c r="I327" i="7"/>
  <c r="J327" i="7"/>
  <c r="K327" i="7" s="1"/>
  <c r="L327" i="7" s="1"/>
  <c r="M327" i="7" s="1"/>
  <c r="N327" i="7" s="1"/>
  <c r="O327" i="7" s="1"/>
  <c r="J328" i="7"/>
  <c r="K328" i="7" s="1"/>
  <c r="L328" i="7" s="1"/>
  <c r="M328" i="7" s="1"/>
  <c r="N328" i="7" s="1"/>
  <c r="O328" i="7" s="1"/>
  <c r="I328" i="7"/>
  <c r="J329" i="7"/>
  <c r="K329" i="7" s="1"/>
  <c r="L329" i="7" s="1"/>
  <c r="M329" i="7" s="1"/>
  <c r="N329" i="7" s="1"/>
  <c r="O329" i="7" s="1"/>
  <c r="I329" i="7"/>
  <c r="J330" i="7"/>
  <c r="K330" i="7" s="1"/>
  <c r="L330" i="7" s="1"/>
  <c r="M330" i="7" s="1"/>
  <c r="N330" i="7" s="1"/>
  <c r="O330" i="7" s="1"/>
  <c r="I330" i="7"/>
  <c r="I331" i="7"/>
  <c r="J331" i="7"/>
  <c r="K331" i="7" s="1"/>
  <c r="L331" i="7" s="1"/>
  <c r="M331" i="7" s="1"/>
  <c r="N331" i="7" s="1"/>
  <c r="O331" i="7" s="1"/>
  <c r="J332" i="7"/>
  <c r="K332" i="7" s="1"/>
  <c r="L332" i="7" s="1"/>
  <c r="M332" i="7" s="1"/>
  <c r="N332" i="7" s="1"/>
  <c r="O332" i="7" s="1"/>
  <c r="P332" i="7" s="1"/>
  <c r="I332" i="7"/>
  <c r="I333" i="7"/>
  <c r="J333" i="7"/>
  <c r="K333" i="7" s="1"/>
  <c r="L333" i="7" s="1"/>
  <c r="M333" i="7" s="1"/>
  <c r="N333" i="7" s="1"/>
  <c r="O333" i="7" s="1"/>
  <c r="J334" i="7"/>
  <c r="K334" i="7" s="1"/>
  <c r="L334" i="7" s="1"/>
  <c r="M334" i="7" s="1"/>
  <c r="N334" i="7" s="1"/>
  <c r="O334" i="7" s="1"/>
  <c r="I334" i="7"/>
  <c r="I335" i="7"/>
  <c r="J335" i="7"/>
  <c r="K335" i="7" s="1"/>
  <c r="L335" i="7" s="1"/>
  <c r="M335" i="7" s="1"/>
  <c r="N335" i="7" s="1"/>
  <c r="O335" i="7" s="1"/>
  <c r="I336" i="7"/>
  <c r="J336" i="7"/>
  <c r="K336" i="7" s="1"/>
  <c r="L336" i="7" s="1"/>
  <c r="M336" i="7" s="1"/>
  <c r="N336" i="7" s="1"/>
  <c r="O336" i="7" s="1"/>
  <c r="I337" i="7"/>
  <c r="J337" i="7"/>
  <c r="K337" i="7" s="1"/>
  <c r="L337" i="7" s="1"/>
  <c r="M337" i="7" s="1"/>
  <c r="N337" i="7" s="1"/>
  <c r="O337" i="7" s="1"/>
  <c r="J338" i="7"/>
  <c r="K338" i="7" s="1"/>
  <c r="L338" i="7" s="1"/>
  <c r="M338" i="7" s="1"/>
  <c r="N338" i="7" s="1"/>
  <c r="O338" i="7" s="1"/>
  <c r="I338" i="7"/>
  <c r="J339" i="7"/>
  <c r="K339" i="7" s="1"/>
  <c r="L339" i="7" s="1"/>
  <c r="M339" i="7" s="1"/>
  <c r="N339" i="7" s="1"/>
  <c r="O339" i="7" s="1"/>
  <c r="I339" i="7"/>
  <c r="J340" i="7"/>
  <c r="K340" i="7" s="1"/>
  <c r="L340" i="7" s="1"/>
  <c r="M340" i="7" s="1"/>
  <c r="N340" i="7" s="1"/>
  <c r="O340" i="7" s="1"/>
  <c r="I340" i="7"/>
  <c r="J341" i="7"/>
  <c r="K341" i="7" s="1"/>
  <c r="L341" i="7" s="1"/>
  <c r="M341" i="7" s="1"/>
  <c r="N341" i="7" s="1"/>
  <c r="O341" i="7" s="1"/>
  <c r="I341" i="7"/>
  <c r="J342" i="7"/>
  <c r="K342" i="7" s="1"/>
  <c r="L342" i="7" s="1"/>
  <c r="M342" i="7" s="1"/>
  <c r="N342" i="7" s="1"/>
  <c r="O342" i="7" s="1"/>
  <c r="I342" i="7"/>
  <c r="J343" i="7"/>
  <c r="K343" i="7" s="1"/>
  <c r="L343" i="7" s="1"/>
  <c r="M343" i="7" s="1"/>
  <c r="N343" i="7" s="1"/>
  <c r="O343" i="7" s="1"/>
  <c r="I343" i="7"/>
  <c r="I344" i="7"/>
  <c r="J344" i="7"/>
  <c r="K344" i="7" s="1"/>
  <c r="L344" i="7" s="1"/>
  <c r="M344" i="7" s="1"/>
  <c r="N344" i="7" s="1"/>
  <c r="O344" i="7" s="1"/>
  <c r="I345" i="7"/>
  <c r="J345" i="7"/>
  <c r="K345" i="7" s="1"/>
  <c r="L345" i="7" s="1"/>
  <c r="M345" i="7" s="1"/>
  <c r="N345" i="7" s="1"/>
  <c r="O345" i="7" s="1"/>
  <c r="I346" i="7"/>
  <c r="J346" i="7"/>
  <c r="K346" i="7" s="1"/>
  <c r="L346" i="7" s="1"/>
  <c r="M346" i="7" s="1"/>
  <c r="N346" i="7" s="1"/>
  <c r="O346" i="7" s="1"/>
  <c r="J347" i="7"/>
  <c r="K347" i="7" s="1"/>
  <c r="L347" i="7" s="1"/>
  <c r="M347" i="7" s="1"/>
  <c r="N347" i="7" s="1"/>
  <c r="O347" i="7" s="1"/>
  <c r="I347" i="7"/>
  <c r="I348" i="7"/>
  <c r="J348" i="7"/>
  <c r="K348" i="7" s="1"/>
  <c r="L348" i="7" s="1"/>
  <c r="M348" i="7" s="1"/>
  <c r="N348" i="7" s="1"/>
  <c r="O348" i="7" s="1"/>
  <c r="J349" i="7"/>
  <c r="K349" i="7" s="1"/>
  <c r="L349" i="7" s="1"/>
  <c r="M349" i="7" s="1"/>
  <c r="N349" i="7" s="1"/>
  <c r="O349" i="7" s="1"/>
  <c r="I349" i="7"/>
  <c r="I350" i="7"/>
  <c r="J350" i="7"/>
  <c r="K350" i="7" s="1"/>
  <c r="L350" i="7" s="1"/>
  <c r="M350" i="7" s="1"/>
  <c r="N350" i="7" s="1"/>
  <c r="O350" i="7" s="1"/>
  <c r="J351" i="7"/>
  <c r="K351" i="7" s="1"/>
  <c r="L351" i="7" s="1"/>
  <c r="M351" i="7" s="1"/>
  <c r="N351" i="7" s="1"/>
  <c r="O351" i="7" s="1"/>
  <c r="I351" i="7"/>
  <c r="J352" i="7"/>
  <c r="K352" i="7" s="1"/>
  <c r="L352" i="7" s="1"/>
  <c r="M352" i="7" s="1"/>
  <c r="N352" i="7" s="1"/>
  <c r="O352" i="7" s="1"/>
  <c r="I352" i="7"/>
  <c r="J353" i="7"/>
  <c r="K353" i="7" s="1"/>
  <c r="L353" i="7" s="1"/>
  <c r="M353" i="7" s="1"/>
  <c r="N353" i="7" s="1"/>
  <c r="O353" i="7" s="1"/>
  <c r="I353" i="7"/>
  <c r="I354" i="7"/>
  <c r="J354" i="7"/>
  <c r="K354" i="7" s="1"/>
  <c r="L354" i="7" s="1"/>
  <c r="M354" i="7" s="1"/>
  <c r="N354" i="7" s="1"/>
  <c r="O354" i="7" s="1"/>
  <c r="J355" i="7"/>
  <c r="K355" i="7" s="1"/>
  <c r="L355" i="7" s="1"/>
  <c r="M355" i="7" s="1"/>
  <c r="N355" i="7" s="1"/>
  <c r="O355" i="7" s="1"/>
  <c r="I355" i="7"/>
  <c r="J356" i="7"/>
  <c r="K356" i="7" s="1"/>
  <c r="L356" i="7" s="1"/>
  <c r="M356" i="7" s="1"/>
  <c r="N356" i="7" s="1"/>
  <c r="O356" i="7" s="1"/>
  <c r="I356" i="7"/>
  <c r="I357" i="7"/>
  <c r="J357" i="7"/>
  <c r="K357" i="7" s="1"/>
  <c r="L357" i="7" s="1"/>
  <c r="M357" i="7" s="1"/>
  <c r="N357" i="7" s="1"/>
  <c r="O357" i="7" s="1"/>
  <c r="J358" i="7"/>
  <c r="K358" i="7" s="1"/>
  <c r="L358" i="7" s="1"/>
  <c r="M358" i="7" s="1"/>
  <c r="N358" i="7" s="1"/>
  <c r="O358" i="7" s="1"/>
  <c r="I358" i="7"/>
  <c r="I359" i="7"/>
  <c r="J359" i="7"/>
  <c r="K359" i="7" s="1"/>
  <c r="L359" i="7" s="1"/>
  <c r="M359" i="7" s="1"/>
  <c r="N359" i="7" s="1"/>
  <c r="O359" i="7" s="1"/>
  <c r="J360" i="7"/>
  <c r="K360" i="7" s="1"/>
  <c r="L360" i="7" s="1"/>
  <c r="M360" i="7" s="1"/>
  <c r="N360" i="7" s="1"/>
  <c r="O360" i="7" s="1"/>
  <c r="I360" i="7"/>
  <c r="J361" i="7"/>
  <c r="K361" i="7" s="1"/>
  <c r="L361" i="7" s="1"/>
  <c r="M361" i="7" s="1"/>
  <c r="N361" i="7" s="1"/>
  <c r="O361" i="7" s="1"/>
  <c r="I361" i="7"/>
  <c r="J362" i="7"/>
  <c r="K362" i="7" s="1"/>
  <c r="L362" i="7" s="1"/>
  <c r="M362" i="7" s="1"/>
  <c r="N362" i="7" s="1"/>
  <c r="O362" i="7" s="1"/>
  <c r="I362" i="7"/>
  <c r="J363" i="7"/>
  <c r="K363" i="7" s="1"/>
  <c r="L363" i="7" s="1"/>
  <c r="M363" i="7" s="1"/>
  <c r="N363" i="7" s="1"/>
  <c r="O363" i="7" s="1"/>
  <c r="I363" i="7"/>
  <c r="I364" i="7"/>
  <c r="J364" i="7"/>
  <c r="K364" i="7" s="1"/>
  <c r="L364" i="7" s="1"/>
  <c r="M364" i="7" s="1"/>
  <c r="N364" i="7" s="1"/>
  <c r="O364" i="7" s="1"/>
  <c r="I365" i="7"/>
  <c r="J365" i="7"/>
  <c r="K365" i="7" s="1"/>
  <c r="L365" i="7" s="1"/>
  <c r="M365" i="7" s="1"/>
  <c r="N365" i="7" s="1"/>
  <c r="O365" i="7" s="1"/>
  <c r="J366" i="7"/>
  <c r="K366" i="7" s="1"/>
  <c r="L366" i="7" s="1"/>
  <c r="M366" i="7" s="1"/>
  <c r="N366" i="7" s="1"/>
  <c r="O366" i="7" s="1"/>
  <c r="I366" i="7"/>
  <c r="I367" i="7"/>
  <c r="J367" i="7"/>
  <c r="K367" i="7" s="1"/>
  <c r="L367" i="7" s="1"/>
  <c r="M367" i="7" s="1"/>
  <c r="N367" i="7" s="1"/>
  <c r="O367" i="7" s="1"/>
  <c r="I368" i="7"/>
  <c r="J368" i="7"/>
  <c r="K368" i="7" s="1"/>
  <c r="L368" i="7" s="1"/>
  <c r="M368" i="7" s="1"/>
  <c r="N368" i="7" s="1"/>
  <c r="O368" i="7" s="1"/>
  <c r="J369" i="7"/>
  <c r="K369" i="7" s="1"/>
  <c r="L369" i="7" s="1"/>
  <c r="M369" i="7" s="1"/>
  <c r="N369" i="7" s="1"/>
  <c r="O369" i="7" s="1"/>
  <c r="I369" i="7"/>
  <c r="J370" i="7"/>
  <c r="K370" i="7" s="1"/>
  <c r="L370" i="7" s="1"/>
  <c r="M370" i="7" s="1"/>
  <c r="N370" i="7" s="1"/>
  <c r="O370" i="7" s="1"/>
  <c r="I370" i="7"/>
  <c r="I371" i="7"/>
  <c r="J371" i="7"/>
  <c r="K371" i="7" s="1"/>
  <c r="L371" i="7" s="1"/>
  <c r="M371" i="7" s="1"/>
  <c r="N371" i="7" s="1"/>
  <c r="O371" i="7" s="1"/>
  <c r="J372" i="7"/>
  <c r="K372" i="7" s="1"/>
  <c r="L372" i="7" s="1"/>
  <c r="M372" i="7" s="1"/>
  <c r="N372" i="7" s="1"/>
  <c r="O372" i="7" s="1"/>
  <c r="I372" i="7"/>
  <c r="J373" i="7"/>
  <c r="K373" i="7" s="1"/>
  <c r="L373" i="7" s="1"/>
  <c r="M373" i="7" s="1"/>
  <c r="N373" i="7" s="1"/>
  <c r="O373" i="7" s="1"/>
  <c r="I373" i="7"/>
  <c r="J374" i="7"/>
  <c r="K374" i="7" s="1"/>
  <c r="L374" i="7" s="1"/>
  <c r="M374" i="7" s="1"/>
  <c r="N374" i="7" s="1"/>
  <c r="O374" i="7" s="1"/>
  <c r="I374" i="7"/>
  <c r="I375" i="7"/>
  <c r="J375" i="7"/>
  <c r="K375" i="7" s="1"/>
  <c r="L375" i="7" s="1"/>
  <c r="M375" i="7" s="1"/>
  <c r="N375" i="7" s="1"/>
  <c r="O375" i="7" s="1"/>
  <c r="P375" i="7" s="1"/>
  <c r="J376" i="7"/>
  <c r="K376" i="7" s="1"/>
  <c r="L376" i="7" s="1"/>
  <c r="M376" i="7" s="1"/>
  <c r="N376" i="7" s="1"/>
  <c r="O376" i="7" s="1"/>
  <c r="P376" i="7" s="1"/>
  <c r="Q376" i="7" s="1"/>
  <c r="I376" i="7"/>
  <c r="J377" i="7"/>
  <c r="K377" i="7" s="1"/>
  <c r="L377" i="7" s="1"/>
  <c r="M377" i="7" s="1"/>
  <c r="N377" i="7" s="1"/>
  <c r="O377" i="7" s="1"/>
  <c r="P377" i="7" s="1"/>
  <c r="I377" i="7"/>
  <c r="J378" i="7"/>
  <c r="K378" i="7" s="1"/>
  <c r="L378" i="7" s="1"/>
  <c r="M378" i="7" s="1"/>
  <c r="N378" i="7" s="1"/>
  <c r="O378" i="7" s="1"/>
  <c r="P378" i="7" s="1"/>
  <c r="I378" i="7"/>
  <c r="I379" i="7"/>
  <c r="J379" i="7"/>
  <c r="K379" i="7" s="1"/>
  <c r="L379" i="7" s="1"/>
  <c r="M379" i="7" s="1"/>
  <c r="N379" i="7" s="1"/>
  <c r="O379" i="7" s="1"/>
  <c r="P379" i="7" s="1"/>
  <c r="J380" i="7"/>
  <c r="K380" i="7" s="1"/>
  <c r="L380" i="7" s="1"/>
  <c r="M380" i="7" s="1"/>
  <c r="N380" i="7" s="1"/>
  <c r="O380" i="7" s="1"/>
  <c r="P380" i="7" s="1"/>
  <c r="I380" i="7"/>
  <c r="J381" i="7"/>
  <c r="K381" i="7" s="1"/>
  <c r="L381" i="7" s="1"/>
  <c r="M381" i="7" s="1"/>
  <c r="N381" i="7" s="1"/>
  <c r="O381" i="7" s="1"/>
  <c r="P381" i="7" s="1"/>
  <c r="I381" i="7"/>
  <c r="J382" i="7"/>
  <c r="K382" i="7" s="1"/>
  <c r="L382" i="7" s="1"/>
  <c r="M382" i="7" s="1"/>
  <c r="N382" i="7" s="1"/>
  <c r="O382" i="7" s="1"/>
  <c r="P382" i="7" s="1"/>
  <c r="I382" i="7"/>
  <c r="I383" i="7"/>
  <c r="J383" i="7"/>
  <c r="K383" i="7" s="1"/>
  <c r="L383" i="7" s="1"/>
  <c r="M383" i="7" s="1"/>
  <c r="N383" i="7" s="1"/>
  <c r="O383" i="7" s="1"/>
  <c r="P383" i="7" s="1"/>
  <c r="I384" i="7"/>
  <c r="J384" i="7"/>
  <c r="K384" i="7" s="1"/>
  <c r="L384" i="7" s="1"/>
  <c r="M384" i="7" s="1"/>
  <c r="N384" i="7" s="1"/>
  <c r="O384" i="7" s="1"/>
  <c r="P384" i="7" s="1"/>
  <c r="J385" i="7"/>
  <c r="K385" i="7" s="1"/>
  <c r="L385" i="7" s="1"/>
  <c r="M385" i="7" s="1"/>
  <c r="N385" i="7" s="1"/>
  <c r="O385" i="7" s="1"/>
  <c r="P385" i="7" s="1"/>
  <c r="I385" i="7"/>
  <c r="J386" i="7"/>
  <c r="K386" i="7" s="1"/>
  <c r="L386" i="7" s="1"/>
  <c r="M386" i="7" s="1"/>
  <c r="N386" i="7" s="1"/>
  <c r="O386" i="7" s="1"/>
  <c r="P386" i="7" s="1"/>
  <c r="I386" i="7"/>
  <c r="I387" i="7"/>
  <c r="J387" i="7"/>
  <c r="K387" i="7" s="1"/>
  <c r="L387" i="7" s="1"/>
  <c r="M387" i="7" s="1"/>
  <c r="N387" i="7" s="1"/>
  <c r="O387" i="7" s="1"/>
  <c r="P387" i="7" s="1"/>
  <c r="J388" i="7"/>
  <c r="K388" i="7" s="1"/>
  <c r="L388" i="7" s="1"/>
  <c r="M388" i="7" s="1"/>
  <c r="N388" i="7" s="1"/>
  <c r="O388" i="7" s="1"/>
  <c r="P388" i="7" s="1"/>
  <c r="I388" i="7"/>
  <c r="J389" i="7"/>
  <c r="K389" i="7" s="1"/>
  <c r="L389" i="7" s="1"/>
  <c r="M389" i="7" s="1"/>
  <c r="N389" i="7" s="1"/>
  <c r="O389" i="7" s="1"/>
  <c r="P389" i="7" s="1"/>
  <c r="Q389" i="7" s="1"/>
  <c r="I389" i="7"/>
  <c r="I390" i="7"/>
  <c r="J390" i="7"/>
  <c r="K390" i="7" s="1"/>
  <c r="L390" i="7" s="1"/>
  <c r="M390" i="7" s="1"/>
  <c r="N390" i="7" s="1"/>
  <c r="O390" i="7" s="1"/>
  <c r="P390" i="7" s="1"/>
  <c r="I391" i="7"/>
  <c r="J391" i="7"/>
  <c r="K391" i="7" s="1"/>
  <c r="L391" i="7" s="1"/>
  <c r="M391" i="7" s="1"/>
  <c r="N391" i="7" s="1"/>
  <c r="O391" i="7" s="1"/>
  <c r="P391" i="7" s="1"/>
  <c r="I392" i="7"/>
  <c r="J392" i="7"/>
  <c r="K392" i="7" s="1"/>
  <c r="L392" i="7" s="1"/>
  <c r="M392" i="7" s="1"/>
  <c r="N392" i="7" s="1"/>
  <c r="O392" i="7" s="1"/>
  <c r="J393" i="7"/>
  <c r="K393" i="7" s="1"/>
  <c r="L393" i="7" s="1"/>
  <c r="M393" i="7" s="1"/>
  <c r="N393" i="7" s="1"/>
  <c r="O393" i="7" s="1"/>
  <c r="I393" i="7"/>
  <c r="J394" i="7"/>
  <c r="K394" i="7" s="1"/>
  <c r="L394" i="7" s="1"/>
  <c r="M394" i="7" s="1"/>
  <c r="N394" i="7" s="1"/>
  <c r="O394" i="7" s="1"/>
  <c r="I394" i="7"/>
  <c r="I395" i="7"/>
  <c r="J395" i="7"/>
  <c r="K395" i="7" s="1"/>
  <c r="L395" i="7" s="1"/>
  <c r="M395" i="7" s="1"/>
  <c r="N395" i="7" s="1"/>
  <c r="O395" i="7" s="1"/>
  <c r="I396" i="7"/>
  <c r="J396" i="7"/>
  <c r="K396" i="7" s="1"/>
  <c r="L396" i="7" s="1"/>
  <c r="M396" i="7" s="1"/>
  <c r="N396" i="7" s="1"/>
  <c r="O396" i="7" s="1"/>
  <c r="J397" i="7"/>
  <c r="K397" i="7" s="1"/>
  <c r="L397" i="7" s="1"/>
  <c r="M397" i="7" s="1"/>
  <c r="N397" i="7" s="1"/>
  <c r="O397" i="7" s="1"/>
  <c r="I397" i="7"/>
  <c r="J398" i="7"/>
  <c r="K398" i="7" s="1"/>
  <c r="L398" i="7" s="1"/>
  <c r="M398" i="7" s="1"/>
  <c r="N398" i="7" s="1"/>
  <c r="O398" i="7" s="1"/>
  <c r="I398" i="7"/>
  <c r="I399" i="7"/>
  <c r="J399" i="7"/>
  <c r="K399" i="7" s="1"/>
  <c r="L399" i="7" s="1"/>
  <c r="M399" i="7" s="1"/>
  <c r="N399" i="7" s="1"/>
  <c r="O399" i="7" s="1"/>
  <c r="J400" i="7"/>
  <c r="K400" i="7" s="1"/>
  <c r="L400" i="7" s="1"/>
  <c r="M400" i="7" s="1"/>
  <c r="N400" i="7" s="1"/>
  <c r="O400" i="7" s="1"/>
  <c r="I400" i="7"/>
  <c r="J401" i="7"/>
  <c r="K401" i="7" s="1"/>
  <c r="L401" i="7" s="1"/>
  <c r="M401" i="7" s="1"/>
  <c r="N401" i="7" s="1"/>
  <c r="O401" i="7" s="1"/>
  <c r="I401" i="7"/>
  <c r="J402" i="7"/>
  <c r="K402" i="7" s="1"/>
  <c r="L402" i="7" s="1"/>
  <c r="M402" i="7" s="1"/>
  <c r="N402" i="7" s="1"/>
  <c r="O402" i="7" s="1"/>
  <c r="I402" i="7"/>
  <c r="J403" i="7"/>
  <c r="K403" i="7" s="1"/>
  <c r="L403" i="7" s="1"/>
  <c r="M403" i="7" s="1"/>
  <c r="N403" i="7" s="1"/>
  <c r="O403" i="7" s="1"/>
  <c r="I403" i="7"/>
  <c r="J404" i="7"/>
  <c r="K404" i="7" s="1"/>
  <c r="L404" i="7" s="1"/>
  <c r="M404" i="7" s="1"/>
  <c r="N404" i="7" s="1"/>
  <c r="O404" i="7" s="1"/>
  <c r="I404" i="7"/>
  <c r="J405" i="7"/>
  <c r="K405" i="7" s="1"/>
  <c r="L405" i="7" s="1"/>
  <c r="M405" i="7" s="1"/>
  <c r="N405" i="7" s="1"/>
  <c r="O405" i="7" s="1"/>
  <c r="I405" i="7"/>
  <c r="J406" i="7"/>
  <c r="K406" i="7" s="1"/>
  <c r="L406" i="7" s="1"/>
  <c r="M406" i="7" s="1"/>
  <c r="N406" i="7" s="1"/>
  <c r="O406" i="7" s="1"/>
  <c r="I406" i="7"/>
  <c r="I407" i="7"/>
  <c r="J407" i="7"/>
  <c r="K407" i="7" s="1"/>
  <c r="L407" i="7" s="1"/>
  <c r="M407" i="7" s="1"/>
  <c r="N407" i="7" s="1"/>
  <c r="O407" i="7" s="1"/>
  <c r="J408" i="7"/>
  <c r="K408" i="7" s="1"/>
  <c r="L408" i="7" s="1"/>
  <c r="M408" i="7" s="1"/>
  <c r="N408" i="7" s="1"/>
  <c r="O408" i="7" s="1"/>
  <c r="I408" i="7"/>
  <c r="J409" i="7"/>
  <c r="K409" i="7" s="1"/>
  <c r="L409" i="7" s="1"/>
  <c r="M409" i="7" s="1"/>
  <c r="N409" i="7" s="1"/>
  <c r="O409" i="7" s="1"/>
  <c r="I409" i="7"/>
  <c r="J410" i="7"/>
  <c r="K410" i="7" s="1"/>
  <c r="L410" i="7" s="1"/>
  <c r="M410" i="7" s="1"/>
  <c r="N410" i="7" s="1"/>
  <c r="O410" i="7" s="1"/>
  <c r="I410" i="7"/>
  <c r="J411" i="7"/>
  <c r="K411" i="7" s="1"/>
  <c r="L411" i="7" s="1"/>
  <c r="M411" i="7" s="1"/>
  <c r="N411" i="7" s="1"/>
  <c r="O411" i="7" s="1"/>
  <c r="I411" i="7"/>
  <c r="J412" i="7"/>
  <c r="K412" i="7" s="1"/>
  <c r="L412" i="7" s="1"/>
  <c r="M412" i="7" s="1"/>
  <c r="N412" i="7" s="1"/>
  <c r="O412" i="7" s="1"/>
  <c r="I412" i="7"/>
  <c r="I413" i="7"/>
  <c r="J413" i="7"/>
  <c r="K413" i="7" s="1"/>
  <c r="L413" i="7" s="1"/>
  <c r="M413" i="7" s="1"/>
  <c r="N413" i="7" s="1"/>
  <c r="O413" i="7" s="1"/>
  <c r="I414" i="7"/>
  <c r="J414" i="7"/>
  <c r="K414" i="7" s="1"/>
  <c r="L414" i="7" s="1"/>
  <c r="M414" i="7" s="1"/>
  <c r="N414" i="7" s="1"/>
  <c r="O414" i="7" s="1"/>
  <c r="I415" i="7"/>
  <c r="J415" i="7"/>
  <c r="K415" i="7" s="1"/>
  <c r="L415" i="7" s="1"/>
  <c r="M415" i="7" s="1"/>
  <c r="N415" i="7" s="1"/>
  <c r="O415" i="7" s="1"/>
  <c r="J416" i="7"/>
  <c r="K416" i="7" s="1"/>
  <c r="L416" i="7" s="1"/>
  <c r="M416" i="7" s="1"/>
  <c r="N416" i="7" s="1"/>
  <c r="O416" i="7" s="1"/>
  <c r="I416" i="7"/>
  <c r="J417" i="7"/>
  <c r="K417" i="7" s="1"/>
  <c r="L417" i="7" s="1"/>
  <c r="M417" i="7" s="1"/>
  <c r="N417" i="7" s="1"/>
  <c r="O417" i="7" s="1"/>
  <c r="I417" i="7"/>
  <c r="I418" i="7"/>
  <c r="J418" i="7"/>
  <c r="K418" i="7" s="1"/>
  <c r="L418" i="7" s="1"/>
  <c r="M418" i="7" s="1"/>
  <c r="N418" i="7" s="1"/>
  <c r="O418" i="7" s="1"/>
  <c r="J419" i="7"/>
  <c r="K419" i="7" s="1"/>
  <c r="L419" i="7" s="1"/>
  <c r="M419" i="7" s="1"/>
  <c r="N419" i="7" s="1"/>
  <c r="O419" i="7" s="1"/>
  <c r="I419" i="7"/>
  <c r="I420" i="7"/>
  <c r="J420" i="7"/>
  <c r="K420" i="7" s="1"/>
  <c r="L420" i="7" s="1"/>
  <c r="M420" i="7" s="1"/>
  <c r="N420" i="7" s="1"/>
  <c r="O420" i="7" s="1"/>
  <c r="J421" i="7"/>
  <c r="K421" i="7" s="1"/>
  <c r="L421" i="7" s="1"/>
  <c r="M421" i="7" s="1"/>
  <c r="N421" i="7" s="1"/>
  <c r="O421" i="7" s="1"/>
  <c r="I421" i="7"/>
  <c r="I422" i="7"/>
  <c r="J422" i="7"/>
  <c r="K422" i="7" s="1"/>
  <c r="L422" i="7" s="1"/>
  <c r="M422" i="7" s="1"/>
  <c r="N422" i="7" s="1"/>
  <c r="O422" i="7" s="1"/>
  <c r="P422" i="7" s="1"/>
  <c r="I423" i="7"/>
  <c r="J423" i="7"/>
  <c r="K423" i="7" s="1"/>
  <c r="L423" i="7" s="1"/>
  <c r="M423" i="7" s="1"/>
  <c r="N423" i="7" s="1"/>
  <c r="O423" i="7" s="1"/>
  <c r="P423" i="7" s="1"/>
  <c r="J424" i="7"/>
  <c r="K424" i="7" s="1"/>
  <c r="L424" i="7" s="1"/>
  <c r="M424" i="7" s="1"/>
  <c r="N424" i="7" s="1"/>
  <c r="O424" i="7" s="1"/>
  <c r="I424" i="7"/>
  <c r="I425" i="7"/>
  <c r="J425" i="7"/>
  <c r="K425" i="7" s="1"/>
  <c r="L425" i="7" s="1"/>
  <c r="M425" i="7" s="1"/>
  <c r="N425" i="7" s="1"/>
  <c r="O425" i="7" s="1"/>
  <c r="J426" i="7"/>
  <c r="K426" i="7" s="1"/>
  <c r="L426" i="7" s="1"/>
  <c r="M426" i="7" s="1"/>
  <c r="N426" i="7" s="1"/>
  <c r="O426" i="7" s="1"/>
  <c r="I426" i="7"/>
  <c r="I427" i="7"/>
  <c r="J427" i="7"/>
  <c r="K427" i="7" s="1"/>
  <c r="L427" i="7" s="1"/>
  <c r="M427" i="7" s="1"/>
  <c r="N427" i="7" s="1"/>
  <c r="O427" i="7" s="1"/>
  <c r="J428" i="7"/>
  <c r="K428" i="7" s="1"/>
  <c r="L428" i="7" s="1"/>
  <c r="M428" i="7" s="1"/>
  <c r="N428" i="7" s="1"/>
  <c r="O428" i="7" s="1"/>
  <c r="I428" i="7"/>
  <c r="J429" i="7"/>
  <c r="K429" i="7" s="1"/>
  <c r="L429" i="7" s="1"/>
  <c r="M429" i="7" s="1"/>
  <c r="N429" i="7" s="1"/>
  <c r="O429" i="7" s="1"/>
  <c r="I429" i="7"/>
  <c r="I430" i="7"/>
  <c r="J430" i="7"/>
  <c r="K430" i="7" s="1"/>
  <c r="L430" i="7" s="1"/>
  <c r="M430" i="7" s="1"/>
  <c r="N430" i="7" s="1"/>
  <c r="O430" i="7" s="1"/>
  <c r="P430" i="7" s="1"/>
  <c r="J431" i="7"/>
  <c r="K431" i="7" s="1"/>
  <c r="L431" i="7" s="1"/>
  <c r="M431" i="7" s="1"/>
  <c r="N431" i="7" s="1"/>
  <c r="O431" i="7" s="1"/>
  <c r="P431" i="7" s="1"/>
  <c r="I431" i="7"/>
  <c r="J432" i="7"/>
  <c r="K432" i="7" s="1"/>
  <c r="L432" i="7" s="1"/>
  <c r="M432" i="7" s="1"/>
  <c r="N432" i="7" s="1"/>
  <c r="O432" i="7" s="1"/>
  <c r="P432" i="7" s="1"/>
  <c r="I432" i="7"/>
  <c r="I433" i="7"/>
  <c r="J433" i="7"/>
  <c r="K433" i="7" s="1"/>
  <c r="L433" i="7" s="1"/>
  <c r="M433" i="7" s="1"/>
  <c r="N433" i="7" s="1"/>
  <c r="O433" i="7" s="1"/>
  <c r="P433" i="7" s="1"/>
  <c r="J434" i="7"/>
  <c r="K434" i="7" s="1"/>
  <c r="L434" i="7" s="1"/>
  <c r="M434" i="7" s="1"/>
  <c r="N434" i="7" s="1"/>
  <c r="O434" i="7" s="1"/>
  <c r="P434" i="7" s="1"/>
  <c r="I434" i="7"/>
  <c r="I435" i="7"/>
  <c r="J435" i="7"/>
  <c r="K435" i="7" s="1"/>
  <c r="L435" i="7" s="1"/>
  <c r="M435" i="7" s="1"/>
  <c r="N435" i="7" s="1"/>
  <c r="O435" i="7" s="1"/>
  <c r="P435" i="7" s="1"/>
  <c r="I436" i="7"/>
  <c r="J436" i="7"/>
  <c r="K436" i="7" s="1"/>
  <c r="L436" i="7" s="1"/>
  <c r="M436" i="7" s="1"/>
  <c r="N436" i="7" s="1"/>
  <c r="O436" i="7" s="1"/>
  <c r="P436" i="7" s="1"/>
  <c r="I437" i="7"/>
  <c r="J437" i="7"/>
  <c r="K437" i="7" s="1"/>
  <c r="L437" i="7" s="1"/>
  <c r="M437" i="7" s="1"/>
  <c r="N437" i="7" s="1"/>
  <c r="O437" i="7" s="1"/>
  <c r="P437" i="7" s="1"/>
  <c r="I438" i="7"/>
  <c r="J438" i="7"/>
  <c r="K438" i="7" s="1"/>
  <c r="L438" i="7" s="1"/>
  <c r="M438" i="7" s="1"/>
  <c r="N438" i="7" s="1"/>
  <c r="O438" i="7" s="1"/>
  <c r="I439" i="7"/>
  <c r="J439" i="7"/>
  <c r="K439" i="7" s="1"/>
  <c r="L439" i="7" s="1"/>
  <c r="M439" i="7" s="1"/>
  <c r="N439" i="7" s="1"/>
  <c r="O439" i="7" s="1"/>
  <c r="P439" i="7" s="1"/>
  <c r="I440" i="7"/>
  <c r="J440" i="7"/>
  <c r="K440" i="7" s="1"/>
  <c r="L440" i="7" s="1"/>
  <c r="M440" i="7" s="1"/>
  <c r="N440" i="7" s="1"/>
  <c r="O440" i="7" s="1"/>
  <c r="P440" i="7" s="1"/>
  <c r="I441" i="7"/>
  <c r="J441" i="7"/>
  <c r="K441" i="7" s="1"/>
  <c r="L441" i="7" s="1"/>
  <c r="M441" i="7" s="1"/>
  <c r="N441" i="7" s="1"/>
  <c r="O441" i="7" s="1"/>
  <c r="P441" i="7" s="1"/>
  <c r="I442" i="7"/>
  <c r="J442" i="7"/>
  <c r="K442" i="7" s="1"/>
  <c r="L442" i="7" s="1"/>
  <c r="M442" i="7" s="1"/>
  <c r="N442" i="7" s="1"/>
  <c r="O442" i="7" s="1"/>
  <c r="P442" i="7" s="1"/>
  <c r="I443" i="7"/>
  <c r="J443" i="7"/>
  <c r="K443" i="7" s="1"/>
  <c r="L443" i="7" s="1"/>
  <c r="M443" i="7" s="1"/>
  <c r="N443" i="7" s="1"/>
  <c r="O443" i="7" s="1"/>
  <c r="P443" i="7" s="1"/>
  <c r="I444" i="7"/>
  <c r="J444" i="7"/>
  <c r="K444" i="7" s="1"/>
  <c r="L444" i="7" s="1"/>
  <c r="M444" i="7" s="1"/>
  <c r="N444" i="7" s="1"/>
  <c r="O444" i="7" s="1"/>
  <c r="P444" i="7" s="1"/>
  <c r="I445" i="7"/>
  <c r="J445" i="7"/>
  <c r="K445" i="7" s="1"/>
  <c r="L445" i="7" s="1"/>
  <c r="M445" i="7" s="1"/>
  <c r="N445" i="7" s="1"/>
  <c r="O445" i="7" s="1"/>
  <c r="P445" i="7" s="1"/>
  <c r="I446" i="7"/>
  <c r="J446" i="7"/>
  <c r="K446" i="7" s="1"/>
  <c r="L446" i="7" s="1"/>
  <c r="M446" i="7" s="1"/>
  <c r="N446" i="7" s="1"/>
  <c r="O446" i="7" s="1"/>
  <c r="P446" i="7" s="1"/>
  <c r="I447" i="7"/>
  <c r="J447" i="7"/>
  <c r="K447" i="7" s="1"/>
  <c r="L447" i="7" s="1"/>
  <c r="M447" i="7" s="1"/>
  <c r="N447" i="7" s="1"/>
  <c r="O447" i="7" s="1"/>
  <c r="P447" i="7" s="1"/>
  <c r="I448" i="7"/>
  <c r="J448" i="7"/>
  <c r="K448" i="7" s="1"/>
  <c r="L448" i="7" s="1"/>
  <c r="M448" i="7" s="1"/>
  <c r="N448" i="7" s="1"/>
  <c r="O448" i="7" s="1"/>
  <c r="P448" i="7" s="1"/>
  <c r="I449" i="7"/>
  <c r="J449" i="7"/>
  <c r="K449" i="7" s="1"/>
  <c r="L449" i="7" s="1"/>
  <c r="M449" i="7" s="1"/>
  <c r="N449" i="7" s="1"/>
  <c r="O449" i="7" s="1"/>
  <c r="P449" i="7" s="1"/>
  <c r="I450" i="7"/>
  <c r="J450" i="7"/>
  <c r="K450" i="7" s="1"/>
  <c r="L450" i="7" s="1"/>
  <c r="M450" i="7" s="1"/>
  <c r="N450" i="7" s="1"/>
  <c r="O450" i="7" s="1"/>
  <c r="P450" i="7" s="1"/>
  <c r="J451" i="7"/>
  <c r="K451" i="7" s="1"/>
  <c r="L451" i="7" s="1"/>
  <c r="M451" i="7" s="1"/>
  <c r="N451" i="7" s="1"/>
  <c r="O451" i="7" s="1"/>
  <c r="P451" i="7" s="1"/>
  <c r="I451" i="7"/>
  <c r="I452" i="7"/>
  <c r="J452" i="7"/>
  <c r="K452" i="7" s="1"/>
  <c r="L452" i="7" s="1"/>
  <c r="M452" i="7" s="1"/>
  <c r="N452" i="7" s="1"/>
  <c r="O452" i="7" s="1"/>
  <c r="P452" i="7" s="1"/>
  <c r="J453" i="7"/>
  <c r="K453" i="7" s="1"/>
  <c r="L453" i="7" s="1"/>
  <c r="M453" i="7" s="1"/>
  <c r="N453" i="7" s="1"/>
  <c r="O453" i="7" s="1"/>
  <c r="P453" i="7" s="1"/>
  <c r="I453" i="7"/>
  <c r="J454" i="7"/>
  <c r="K454" i="7" s="1"/>
  <c r="L454" i="7" s="1"/>
  <c r="M454" i="7" s="1"/>
  <c r="N454" i="7" s="1"/>
  <c r="O454" i="7" s="1"/>
  <c r="P454" i="7" s="1"/>
  <c r="I454" i="7"/>
  <c r="J455" i="7"/>
  <c r="K455" i="7" s="1"/>
  <c r="L455" i="7" s="1"/>
  <c r="M455" i="7" s="1"/>
  <c r="N455" i="7" s="1"/>
  <c r="O455" i="7" s="1"/>
  <c r="P455" i="7" s="1"/>
  <c r="I455" i="7"/>
  <c r="J456" i="7"/>
  <c r="K456" i="7" s="1"/>
  <c r="L456" i="7" s="1"/>
  <c r="M456" i="7" s="1"/>
  <c r="N456" i="7" s="1"/>
  <c r="O456" i="7" s="1"/>
  <c r="P456" i="7" s="1"/>
  <c r="I456" i="7"/>
  <c r="J457" i="7"/>
  <c r="K457" i="7" s="1"/>
  <c r="L457" i="7" s="1"/>
  <c r="M457" i="7" s="1"/>
  <c r="N457" i="7" s="1"/>
  <c r="O457" i="7" s="1"/>
  <c r="P457" i="7" s="1"/>
  <c r="I457" i="7"/>
  <c r="J458" i="7"/>
  <c r="K458" i="7" s="1"/>
  <c r="L458" i="7" s="1"/>
  <c r="M458" i="7" s="1"/>
  <c r="N458" i="7" s="1"/>
  <c r="O458" i="7" s="1"/>
  <c r="P458" i="7" s="1"/>
  <c r="I458" i="7"/>
  <c r="J459" i="7"/>
  <c r="K459" i="7" s="1"/>
  <c r="L459" i="7" s="1"/>
  <c r="M459" i="7" s="1"/>
  <c r="N459" i="7" s="1"/>
  <c r="O459" i="7" s="1"/>
  <c r="P459" i="7" s="1"/>
  <c r="I459" i="7"/>
  <c r="I460" i="7"/>
  <c r="J460" i="7"/>
  <c r="K460" i="7" s="1"/>
  <c r="L460" i="7" s="1"/>
  <c r="M460" i="7" s="1"/>
  <c r="N460" i="7" s="1"/>
  <c r="O460" i="7" s="1"/>
  <c r="P460" i="7" s="1"/>
  <c r="J461" i="7"/>
  <c r="K461" i="7" s="1"/>
  <c r="L461" i="7" s="1"/>
  <c r="M461" i="7" s="1"/>
  <c r="N461" i="7" s="1"/>
  <c r="O461" i="7" s="1"/>
  <c r="P461" i="7" s="1"/>
  <c r="I461" i="7"/>
  <c r="J462" i="7"/>
  <c r="K462" i="7" s="1"/>
  <c r="L462" i="7" s="1"/>
  <c r="M462" i="7" s="1"/>
  <c r="N462" i="7" s="1"/>
  <c r="O462" i="7" s="1"/>
  <c r="I462" i="7"/>
  <c r="J463" i="7"/>
  <c r="K463" i="7" s="1"/>
  <c r="L463" i="7" s="1"/>
  <c r="M463" i="7" s="1"/>
  <c r="N463" i="7" s="1"/>
  <c r="O463" i="7" s="1"/>
  <c r="P463" i="7" s="1"/>
  <c r="I463" i="7"/>
  <c r="J464" i="7"/>
  <c r="K464" i="7" s="1"/>
  <c r="L464" i="7" s="1"/>
  <c r="M464" i="7" s="1"/>
  <c r="N464" i="7" s="1"/>
  <c r="O464" i="7" s="1"/>
  <c r="P464" i="7" s="1"/>
  <c r="I464" i="7"/>
  <c r="J465" i="7"/>
  <c r="K465" i="7" s="1"/>
  <c r="L465" i="7" s="1"/>
  <c r="M465" i="7" s="1"/>
  <c r="N465" i="7" s="1"/>
  <c r="O465" i="7" s="1"/>
  <c r="I465" i="7"/>
  <c r="J466" i="7"/>
  <c r="K466" i="7" s="1"/>
  <c r="L466" i="7" s="1"/>
  <c r="M466" i="7" s="1"/>
  <c r="N466" i="7" s="1"/>
  <c r="O466" i="7" s="1"/>
  <c r="I466" i="7"/>
  <c r="J467" i="7"/>
  <c r="K467" i="7" s="1"/>
  <c r="L467" i="7" s="1"/>
  <c r="M467" i="7" s="1"/>
  <c r="N467" i="7" s="1"/>
  <c r="O467" i="7" s="1"/>
  <c r="I467" i="7"/>
  <c r="I468" i="7"/>
  <c r="J468" i="7"/>
  <c r="K468" i="7" s="1"/>
  <c r="L468" i="7" s="1"/>
  <c r="M468" i="7" s="1"/>
  <c r="N468" i="7" s="1"/>
  <c r="O468" i="7" s="1"/>
  <c r="I469" i="7"/>
  <c r="J469" i="7"/>
  <c r="K469" i="7" s="1"/>
  <c r="L469" i="7" s="1"/>
  <c r="M469" i="7" s="1"/>
  <c r="N469" i="7" s="1"/>
  <c r="O469" i="7" s="1"/>
  <c r="I470" i="7"/>
  <c r="J470" i="7"/>
  <c r="K470" i="7" s="1"/>
  <c r="L470" i="7" s="1"/>
  <c r="M470" i="7" s="1"/>
  <c r="N470" i="7" s="1"/>
  <c r="O470" i="7" s="1"/>
  <c r="J471" i="7"/>
  <c r="K471" i="7" s="1"/>
  <c r="L471" i="7" s="1"/>
  <c r="M471" i="7" s="1"/>
  <c r="N471" i="7" s="1"/>
  <c r="O471" i="7" s="1"/>
  <c r="I471" i="7"/>
  <c r="J472" i="7"/>
  <c r="K472" i="7" s="1"/>
  <c r="L472" i="7" s="1"/>
  <c r="M472" i="7" s="1"/>
  <c r="N472" i="7" s="1"/>
  <c r="O472" i="7" s="1"/>
  <c r="I472" i="7"/>
  <c r="J473" i="7"/>
  <c r="K473" i="7" s="1"/>
  <c r="L473" i="7" s="1"/>
  <c r="M473" i="7" s="1"/>
  <c r="N473" i="7" s="1"/>
  <c r="O473" i="7" s="1"/>
  <c r="I473" i="7"/>
  <c r="J474" i="7"/>
  <c r="K474" i="7" s="1"/>
  <c r="L474" i="7" s="1"/>
  <c r="M474" i="7" s="1"/>
  <c r="N474" i="7" s="1"/>
  <c r="O474" i="7" s="1"/>
  <c r="I474" i="7"/>
  <c r="J475" i="7"/>
  <c r="K475" i="7" s="1"/>
  <c r="L475" i="7" s="1"/>
  <c r="M475" i="7" s="1"/>
  <c r="N475" i="7" s="1"/>
  <c r="O475" i="7" s="1"/>
  <c r="I475" i="7"/>
  <c r="J476" i="7"/>
  <c r="K476" i="7" s="1"/>
  <c r="L476" i="7" s="1"/>
  <c r="M476" i="7" s="1"/>
  <c r="N476" i="7" s="1"/>
  <c r="O476" i="7" s="1"/>
  <c r="I476" i="7"/>
  <c r="J477" i="7"/>
  <c r="K477" i="7" s="1"/>
  <c r="L477" i="7" s="1"/>
  <c r="M477" i="7" s="1"/>
  <c r="N477" i="7" s="1"/>
  <c r="O477" i="7" s="1"/>
  <c r="I477" i="7"/>
  <c r="J479" i="7"/>
  <c r="K479" i="7" s="1"/>
  <c r="L479" i="7" s="1"/>
  <c r="M479" i="7" s="1"/>
  <c r="N479" i="7" s="1"/>
  <c r="O479" i="7" s="1"/>
  <c r="I479" i="7"/>
  <c r="J480" i="7"/>
  <c r="K480" i="7" s="1"/>
  <c r="L480" i="7" s="1"/>
  <c r="M480" i="7" s="1"/>
  <c r="N480" i="7" s="1"/>
  <c r="O480" i="7" s="1"/>
  <c r="I480" i="7"/>
  <c r="I481" i="7"/>
  <c r="J481" i="7"/>
  <c r="K481" i="7" s="1"/>
  <c r="L481" i="7" s="1"/>
  <c r="M481" i="7" s="1"/>
  <c r="N481" i="7" s="1"/>
  <c r="O481" i="7" s="1"/>
  <c r="I482" i="7"/>
  <c r="J482" i="7"/>
  <c r="K482" i="7" s="1"/>
  <c r="L482" i="7" s="1"/>
  <c r="M482" i="7" s="1"/>
  <c r="N482" i="7" s="1"/>
  <c r="O482" i="7" s="1"/>
  <c r="I483" i="7"/>
  <c r="J483" i="7"/>
  <c r="K483" i="7" s="1"/>
  <c r="L483" i="7" s="1"/>
  <c r="M483" i="7" s="1"/>
  <c r="N483" i="7" s="1"/>
  <c r="O483" i="7" s="1"/>
  <c r="I484" i="7"/>
  <c r="J484" i="7"/>
  <c r="K484" i="7" s="1"/>
  <c r="L484" i="7" s="1"/>
  <c r="M484" i="7" s="1"/>
  <c r="N484" i="7" s="1"/>
  <c r="O484" i="7" s="1"/>
  <c r="J485" i="7"/>
  <c r="K485" i="7" s="1"/>
  <c r="L485" i="7" s="1"/>
  <c r="M485" i="7" s="1"/>
  <c r="N485" i="7" s="1"/>
  <c r="O485" i="7" s="1"/>
  <c r="I485" i="7"/>
  <c r="J486" i="7"/>
  <c r="K486" i="7" s="1"/>
  <c r="L486" i="7" s="1"/>
  <c r="M486" i="7" s="1"/>
  <c r="N486" i="7" s="1"/>
  <c r="O486" i="7" s="1"/>
  <c r="I486" i="7"/>
  <c r="J487" i="7"/>
  <c r="K487" i="7" s="1"/>
  <c r="L487" i="7" s="1"/>
  <c r="M487" i="7" s="1"/>
  <c r="N487" i="7" s="1"/>
  <c r="O487" i="7" s="1"/>
  <c r="I487" i="7"/>
  <c r="J488" i="7"/>
  <c r="K488" i="7" s="1"/>
  <c r="L488" i="7" s="1"/>
  <c r="M488" i="7" s="1"/>
  <c r="N488" i="7" s="1"/>
  <c r="O488" i="7" s="1"/>
  <c r="I488" i="7"/>
  <c r="I489" i="7"/>
  <c r="J489" i="7"/>
  <c r="K489" i="7" s="1"/>
  <c r="L489" i="7" s="1"/>
  <c r="M489" i="7" s="1"/>
  <c r="N489" i="7" s="1"/>
  <c r="O489" i="7" s="1"/>
  <c r="J490" i="7"/>
  <c r="K490" i="7" s="1"/>
  <c r="L490" i="7" s="1"/>
  <c r="M490" i="7" s="1"/>
  <c r="N490" i="7" s="1"/>
  <c r="O490" i="7" s="1"/>
  <c r="I490" i="7"/>
  <c r="J491" i="7"/>
  <c r="K491" i="7" s="1"/>
  <c r="L491" i="7" s="1"/>
  <c r="M491" i="7" s="1"/>
  <c r="N491" i="7" s="1"/>
  <c r="O491" i="7" s="1"/>
  <c r="I491" i="7"/>
  <c r="I492" i="7"/>
  <c r="J492" i="7"/>
  <c r="K492" i="7" s="1"/>
  <c r="L492" i="7" s="1"/>
  <c r="M492" i="7" s="1"/>
  <c r="N492" i="7" s="1"/>
  <c r="O492" i="7" s="1"/>
  <c r="J493" i="7"/>
  <c r="K493" i="7" s="1"/>
  <c r="L493" i="7" s="1"/>
  <c r="M493" i="7" s="1"/>
  <c r="N493" i="7" s="1"/>
  <c r="O493" i="7" s="1"/>
  <c r="I493" i="7"/>
  <c r="J494" i="7"/>
  <c r="K494" i="7" s="1"/>
  <c r="L494" i="7" s="1"/>
  <c r="M494" i="7" s="1"/>
  <c r="N494" i="7" s="1"/>
  <c r="O494" i="7" s="1"/>
  <c r="I494" i="7"/>
  <c r="J495" i="7"/>
  <c r="K495" i="7" s="1"/>
  <c r="L495" i="7" s="1"/>
  <c r="M495" i="7" s="1"/>
  <c r="N495" i="7" s="1"/>
  <c r="O495" i="7" s="1"/>
  <c r="I495" i="7"/>
  <c r="J496" i="7"/>
  <c r="K496" i="7" s="1"/>
  <c r="L496" i="7" s="1"/>
  <c r="M496" i="7" s="1"/>
  <c r="N496" i="7" s="1"/>
  <c r="O496" i="7" s="1"/>
  <c r="I496" i="7"/>
  <c r="J497" i="7"/>
  <c r="K497" i="7" s="1"/>
  <c r="L497" i="7" s="1"/>
  <c r="M497" i="7" s="1"/>
  <c r="N497" i="7" s="1"/>
  <c r="O497" i="7" s="1"/>
  <c r="I497" i="7"/>
  <c r="P189" i="7"/>
  <c r="P190" i="7"/>
  <c r="Q190" i="7" s="1"/>
  <c r="P191" i="7"/>
  <c r="P192" i="7"/>
  <c r="P193" i="7"/>
  <c r="Q193" i="7" s="1"/>
  <c r="P194" i="7"/>
  <c r="P195" i="7"/>
  <c r="P196" i="7"/>
  <c r="P197" i="7"/>
  <c r="P198" i="7"/>
  <c r="P199" i="7"/>
  <c r="P200" i="7"/>
  <c r="P201" i="7"/>
  <c r="P202" i="7"/>
  <c r="Q202" i="7" s="1"/>
  <c r="P203" i="7"/>
  <c r="P204" i="7"/>
  <c r="S204" i="7" s="1"/>
  <c r="P205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6" i="7"/>
  <c r="P287" i="7"/>
  <c r="P288" i="7"/>
  <c r="P392" i="7"/>
  <c r="P393" i="7"/>
  <c r="P394" i="7"/>
  <c r="Q394" i="7" s="1"/>
  <c r="P395" i="7"/>
  <c r="P465" i="7"/>
  <c r="P466" i="7"/>
  <c r="P467" i="7"/>
  <c r="P468" i="7"/>
  <c r="P469" i="7"/>
  <c r="P470" i="7"/>
  <c r="P471" i="7"/>
  <c r="S471" i="7" s="1"/>
  <c r="Q171" i="7"/>
  <c r="T171" i="7" s="1"/>
  <c r="S171" i="7"/>
  <c r="S173" i="7"/>
  <c r="Q173" i="7"/>
  <c r="T173" i="7" s="1"/>
  <c r="S174" i="7"/>
  <c r="Q174" i="7"/>
  <c r="T174" i="7" s="1"/>
  <c r="Q177" i="7"/>
  <c r="T177" i="7" s="1"/>
  <c r="S177" i="7"/>
  <c r="Q178" i="7"/>
  <c r="T178" i="7" s="1"/>
  <c r="S178" i="7"/>
  <c r="Q179" i="7"/>
  <c r="T179" i="7" s="1"/>
  <c r="S179" i="7"/>
  <c r="S180" i="7"/>
  <c r="Q180" i="7"/>
  <c r="T180" i="7" s="1"/>
  <c r="Q181" i="7"/>
  <c r="T181" i="7" s="1"/>
  <c r="S181" i="7"/>
  <c r="I478" i="7"/>
  <c r="J478" i="7"/>
  <c r="K478" i="7" s="1"/>
  <c r="L478" i="7" s="1"/>
  <c r="M478" i="7" s="1"/>
  <c r="N478" i="7" s="1"/>
  <c r="O478" i="7" s="1"/>
  <c r="I2" i="7"/>
  <c r="J2" i="7"/>
  <c r="K2" i="7" s="1"/>
  <c r="L2" i="7" s="1"/>
  <c r="M2" i="7" s="1"/>
  <c r="N2" i="7" s="1"/>
  <c r="O2" i="7" s="1"/>
  <c r="S189" i="7" l="1"/>
  <c r="Q189" i="7"/>
  <c r="P89" i="7"/>
  <c r="Q89" i="7"/>
  <c r="T89" i="7" s="1"/>
  <c r="S89" i="7"/>
  <c r="P90" i="7"/>
  <c r="S90" i="7"/>
  <c r="Q90" i="7"/>
  <c r="T90" i="7" s="1"/>
  <c r="P91" i="7"/>
  <c r="Q91" i="7"/>
  <c r="T91" i="7" s="1"/>
  <c r="S91" i="7"/>
  <c r="P92" i="7"/>
  <c r="Q92" i="7"/>
  <c r="T92" i="7" s="1"/>
  <c r="S92" i="7"/>
  <c r="P169" i="7"/>
  <c r="Q169" i="7"/>
  <c r="T169" i="7" s="1"/>
  <c r="S169" i="7"/>
  <c r="Q471" i="7"/>
  <c r="S191" i="7"/>
  <c r="Q191" i="7"/>
  <c r="Q194" i="7"/>
  <c r="S194" i="7"/>
  <c r="S195" i="7"/>
  <c r="Q195" i="7"/>
  <c r="T195" i="7" s="1"/>
  <c r="S196" i="7"/>
  <c r="Q196" i="7"/>
  <c r="T196" i="7"/>
  <c r="Q197" i="7"/>
  <c r="R197" i="7" s="1"/>
  <c r="S197" i="7"/>
  <c r="S199" i="7"/>
  <c r="Q199" i="7"/>
  <c r="S200" i="7"/>
  <c r="Q200" i="7"/>
  <c r="Q201" i="7"/>
  <c r="T201" i="7"/>
  <c r="S201" i="7"/>
  <c r="S205" i="7"/>
  <c r="Q205" i="7"/>
  <c r="S253" i="7"/>
  <c r="Q253" i="7"/>
  <c r="S255" i="7"/>
  <c r="Q255" i="7"/>
  <c r="R255" i="7" s="1"/>
  <c r="Q257" i="7"/>
  <c r="R257" i="7" s="1"/>
  <c r="S257" i="7"/>
  <c r="Q259" i="7"/>
  <c r="R259" i="7" s="1"/>
  <c r="S259" i="7"/>
  <c r="S261" i="7"/>
  <c r="Q261" i="7"/>
  <c r="R261" i="7" s="1"/>
  <c r="Q263" i="7"/>
  <c r="S263" i="7"/>
  <c r="Q264" i="7"/>
  <c r="S264" i="7"/>
  <c r="S265" i="7"/>
  <c r="Q265" i="7"/>
  <c r="T265" i="7" s="1"/>
  <c r="S266" i="7"/>
  <c r="Q266" i="7"/>
  <c r="Q267" i="7"/>
  <c r="S267" i="7"/>
  <c r="S268" i="7"/>
  <c r="Q268" i="7"/>
  <c r="T268" i="7" s="1"/>
  <c r="S269" i="7"/>
  <c r="Q269" i="7"/>
  <c r="S270" i="7"/>
  <c r="Q270" i="7"/>
  <c r="S271" i="7"/>
  <c r="Q271" i="7"/>
  <c r="S272" i="7"/>
  <c r="Q272" i="7"/>
  <c r="S274" i="7"/>
  <c r="Q274" i="7"/>
  <c r="Q275" i="7"/>
  <c r="S275" i="7"/>
  <c r="T275" i="7"/>
  <c r="Q278" i="7"/>
  <c r="S278" i="7"/>
  <c r="Q279" i="7"/>
  <c r="S279" i="7"/>
  <c r="Q280" i="7"/>
  <c r="S280" i="7"/>
  <c r="Q281" i="7"/>
  <c r="S281" i="7"/>
  <c r="Q286" i="7"/>
  <c r="S286" i="7"/>
  <c r="S287" i="7"/>
  <c r="Q287" i="7"/>
  <c r="Q288" i="7"/>
  <c r="S288" i="7"/>
  <c r="Q375" i="7"/>
  <c r="S375" i="7"/>
  <c r="Q377" i="7"/>
  <c r="S377" i="7"/>
  <c r="Q378" i="7"/>
  <c r="S378" i="7"/>
  <c r="S379" i="7"/>
  <c r="Q379" i="7"/>
  <c r="Q380" i="7"/>
  <c r="S380" i="7"/>
  <c r="Q381" i="7"/>
  <c r="T381" i="7"/>
  <c r="S381" i="7"/>
  <c r="Q382" i="7"/>
  <c r="S382" i="7"/>
  <c r="T382" i="7"/>
  <c r="Q383" i="7"/>
  <c r="S383" i="7"/>
  <c r="Q384" i="7"/>
  <c r="S384" i="7"/>
  <c r="S385" i="7"/>
  <c r="Q385" i="7"/>
  <c r="S386" i="7"/>
  <c r="Q386" i="7"/>
  <c r="T386" i="7"/>
  <c r="Q387" i="7"/>
  <c r="S387" i="7"/>
  <c r="Q388" i="7"/>
  <c r="S388" i="7"/>
  <c r="S390" i="7"/>
  <c r="Q390" i="7"/>
  <c r="Q391" i="7"/>
  <c r="S391" i="7"/>
  <c r="Q392" i="7"/>
  <c r="T392" i="7" s="1"/>
  <c r="S392" i="7"/>
  <c r="S393" i="7"/>
  <c r="Q393" i="7"/>
  <c r="Q395" i="7"/>
  <c r="S395" i="7"/>
  <c r="P3" i="7"/>
  <c r="P4" i="7"/>
  <c r="P5" i="7"/>
  <c r="P6" i="7"/>
  <c r="P7" i="7"/>
  <c r="Q7" i="7" s="1"/>
  <c r="S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62" i="7"/>
  <c r="P66" i="7"/>
  <c r="P78" i="7"/>
  <c r="P82" i="7"/>
  <c r="P93" i="7"/>
  <c r="Q93" i="7" s="1"/>
  <c r="P105" i="7"/>
  <c r="P108" i="7"/>
  <c r="P116" i="7"/>
  <c r="P117" i="7"/>
  <c r="P122" i="7"/>
  <c r="P126" i="7"/>
  <c r="P133" i="7"/>
  <c r="P135" i="7"/>
  <c r="P140" i="7"/>
  <c r="P153" i="7"/>
  <c r="P170" i="7"/>
  <c r="P172" i="7"/>
  <c r="P175" i="7"/>
  <c r="P176" i="7"/>
  <c r="Q176" i="7" s="1"/>
  <c r="P188" i="7"/>
  <c r="T197" i="7"/>
  <c r="T200" i="7"/>
  <c r="T255" i="7"/>
  <c r="T257" i="7"/>
  <c r="T259" i="7"/>
  <c r="T261" i="7"/>
  <c r="P53" i="7"/>
  <c r="Q53" i="7"/>
  <c r="S53" i="7"/>
  <c r="P54" i="7"/>
  <c r="Q54" i="7"/>
  <c r="S54" i="7"/>
  <c r="P55" i="7"/>
  <c r="Q55" i="7"/>
  <c r="S55" i="7"/>
  <c r="P56" i="7"/>
  <c r="Q56" i="7"/>
  <c r="R56" i="7" s="1"/>
  <c r="P57" i="7"/>
  <c r="S57" i="7" s="1"/>
  <c r="Q57" i="7"/>
  <c r="P58" i="7"/>
  <c r="P59" i="7"/>
  <c r="P60" i="7"/>
  <c r="P61" i="7"/>
  <c r="P63" i="7"/>
  <c r="P64" i="7"/>
  <c r="P65" i="7"/>
  <c r="P67" i="7"/>
  <c r="P68" i="7"/>
  <c r="P69" i="7"/>
  <c r="P70" i="7"/>
  <c r="P71" i="7"/>
  <c r="P72" i="7"/>
  <c r="P73" i="7"/>
  <c r="S73" i="7"/>
  <c r="Q73" i="7"/>
  <c r="T73" i="7"/>
  <c r="P74" i="7"/>
  <c r="Q74" i="7"/>
  <c r="T74" i="7"/>
  <c r="S74" i="7"/>
  <c r="P75" i="7"/>
  <c r="Q75" i="7"/>
  <c r="T75" i="7" s="1"/>
  <c r="S75" i="7"/>
  <c r="P76" i="7"/>
  <c r="Q76" i="7"/>
  <c r="T76" i="7" s="1"/>
  <c r="S76" i="7"/>
  <c r="P77" i="7"/>
  <c r="Q77" i="7"/>
  <c r="T77" i="7" s="1"/>
  <c r="S77" i="7"/>
  <c r="P79" i="7"/>
  <c r="S79" i="7"/>
  <c r="Q79" i="7"/>
  <c r="T79" i="7" s="1"/>
  <c r="P80" i="7"/>
  <c r="Q80" i="7"/>
  <c r="T80" i="7" s="1"/>
  <c r="S80" i="7"/>
  <c r="P81" i="7"/>
  <c r="S81" i="7"/>
  <c r="Q81" i="7"/>
  <c r="T81" i="7" s="1"/>
  <c r="P83" i="7"/>
  <c r="Q83" i="7"/>
  <c r="T83" i="7" s="1"/>
  <c r="S83" i="7"/>
  <c r="P84" i="7"/>
  <c r="S84" i="7" s="1"/>
  <c r="Q84" i="7"/>
  <c r="T84" i="7" s="1"/>
  <c r="P85" i="7"/>
  <c r="Q85" i="7" s="1"/>
  <c r="S85" i="7"/>
  <c r="P86" i="7"/>
  <c r="P87" i="7"/>
  <c r="P88" i="7"/>
  <c r="P94" i="7"/>
  <c r="P95" i="7"/>
  <c r="P96" i="7"/>
  <c r="P97" i="7"/>
  <c r="P98" i="7"/>
  <c r="S98" i="7"/>
  <c r="Q98" i="7"/>
  <c r="R98" i="7" s="1"/>
  <c r="T98" i="7"/>
  <c r="P99" i="7"/>
  <c r="Q99" i="7"/>
  <c r="S99" i="7"/>
  <c r="P100" i="7"/>
  <c r="Q100" i="7"/>
  <c r="R100" i="7" s="1"/>
  <c r="T100" i="7"/>
  <c r="S100" i="7"/>
  <c r="P101" i="7"/>
  <c r="Q101" i="7"/>
  <c r="S101" i="7"/>
  <c r="P102" i="7"/>
  <c r="Q102" i="7"/>
  <c r="S102" i="7"/>
  <c r="P103" i="7"/>
  <c r="S103" i="7"/>
  <c r="Q103" i="7"/>
  <c r="R103" i="7" s="1"/>
  <c r="T103" i="7"/>
  <c r="P104" i="7"/>
  <c r="Q104" i="7"/>
  <c r="S104" i="7"/>
  <c r="P106" i="7"/>
  <c r="S106" i="7"/>
  <c r="Q106" i="7"/>
  <c r="R106" i="7" s="1"/>
  <c r="T106" i="7"/>
  <c r="P107" i="7"/>
  <c r="Q107" i="7"/>
  <c r="S107" i="7"/>
  <c r="P109" i="7"/>
  <c r="P110" i="7"/>
  <c r="Q110" i="7"/>
  <c r="R110" i="7" s="1"/>
  <c r="T110" i="7"/>
  <c r="S110" i="7"/>
  <c r="P111" i="7"/>
  <c r="Q111" i="7"/>
  <c r="S111" i="7"/>
  <c r="P112" i="7"/>
  <c r="Q112" i="7"/>
  <c r="S112" i="7"/>
  <c r="P113" i="7"/>
  <c r="Q113" i="7"/>
  <c r="S113" i="7"/>
  <c r="P114" i="7"/>
  <c r="Q114" i="7"/>
  <c r="S114" i="7"/>
  <c r="T114" i="7"/>
  <c r="P115" i="7"/>
  <c r="Q115" i="7"/>
  <c r="S115" i="7"/>
  <c r="P118" i="7"/>
  <c r="Q118" i="7"/>
  <c r="T118" i="7"/>
  <c r="S118" i="7"/>
  <c r="P119" i="7"/>
  <c r="Q119" i="7"/>
  <c r="S119" i="7"/>
  <c r="P120" i="7"/>
  <c r="S120" i="7"/>
  <c r="Q120" i="7"/>
  <c r="P121" i="7"/>
  <c r="Q121" i="7"/>
  <c r="S121" i="7"/>
  <c r="P123" i="7"/>
  <c r="Q123" i="7"/>
  <c r="S123" i="7"/>
  <c r="P124" i="7"/>
  <c r="P125" i="7"/>
  <c r="P127" i="7"/>
  <c r="P128" i="7"/>
  <c r="P129" i="7"/>
  <c r="P130" i="7"/>
  <c r="P131" i="7"/>
  <c r="P132" i="7"/>
  <c r="P134" i="7"/>
  <c r="P136" i="7"/>
  <c r="P137" i="7"/>
  <c r="Q137" i="7"/>
  <c r="S137" i="7"/>
  <c r="P138" i="7"/>
  <c r="P139" i="7"/>
  <c r="P141" i="7"/>
  <c r="P142" i="7"/>
  <c r="P143" i="7"/>
  <c r="P144" i="7"/>
  <c r="P145" i="7"/>
  <c r="P146" i="7"/>
  <c r="S146" i="7"/>
  <c r="P147" i="7"/>
  <c r="P148" i="7"/>
  <c r="P149" i="7"/>
  <c r="P150" i="7"/>
  <c r="P151" i="7"/>
  <c r="P152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82" i="7"/>
  <c r="P183" i="7"/>
  <c r="P184" i="7"/>
  <c r="P185" i="7"/>
  <c r="P186" i="7"/>
  <c r="P187" i="7"/>
  <c r="P206" i="7"/>
  <c r="S206" i="7" s="1"/>
  <c r="P207" i="7"/>
  <c r="Q207" i="7" s="1"/>
  <c r="P208" i="7"/>
  <c r="P209" i="7"/>
  <c r="S209" i="7" s="1"/>
  <c r="P210" i="7"/>
  <c r="Q210" i="7" s="1"/>
  <c r="P211" i="7"/>
  <c r="P212" i="7"/>
  <c r="P213" i="7"/>
  <c r="P214" i="7"/>
  <c r="S214" i="7" s="1"/>
  <c r="P215" i="7"/>
  <c r="P216" i="7"/>
  <c r="Q216" i="7" s="1"/>
  <c r="P217" i="7"/>
  <c r="P218" i="7"/>
  <c r="P219" i="7"/>
  <c r="P220" i="7"/>
  <c r="P221" i="7"/>
  <c r="P222" i="7"/>
  <c r="S222" i="7" s="1"/>
  <c r="P223" i="7"/>
  <c r="Q223" i="7" s="1"/>
  <c r="R223" i="7" s="1"/>
  <c r="P224" i="7"/>
  <c r="P225" i="7"/>
  <c r="P226" i="7"/>
  <c r="P227" i="7"/>
  <c r="P228" i="7"/>
  <c r="P229" i="7"/>
  <c r="S229" i="7" s="1"/>
  <c r="P232" i="7"/>
  <c r="P233" i="7"/>
  <c r="P234" i="7"/>
  <c r="P235" i="7"/>
  <c r="P236" i="7"/>
  <c r="P238" i="7"/>
  <c r="P239" i="7"/>
  <c r="Q239" i="7" s="1"/>
  <c r="S239" i="7"/>
  <c r="P240" i="7"/>
  <c r="P241" i="7"/>
  <c r="P243" i="7"/>
  <c r="P245" i="7"/>
  <c r="P247" i="7"/>
  <c r="P249" i="7"/>
  <c r="P251" i="7"/>
  <c r="P252" i="7"/>
  <c r="P283" i="7"/>
  <c r="P284" i="7"/>
  <c r="P285" i="7"/>
  <c r="P290" i="7"/>
  <c r="P291" i="7"/>
  <c r="P292" i="7"/>
  <c r="P294" i="7"/>
  <c r="P295" i="7"/>
  <c r="P296" i="7"/>
  <c r="P297" i="7"/>
  <c r="P298" i="7"/>
  <c r="P299" i="7"/>
  <c r="P301" i="7"/>
  <c r="P303" i="7"/>
  <c r="P304" i="7"/>
  <c r="P307" i="7"/>
  <c r="P308" i="7"/>
  <c r="P309" i="7"/>
  <c r="P311" i="7"/>
  <c r="Q311" i="7" s="1"/>
  <c r="R311" i="7" s="1"/>
  <c r="P312" i="7"/>
  <c r="P313" i="7"/>
  <c r="Q313" i="7" s="1"/>
  <c r="P314" i="7"/>
  <c r="P317" i="7"/>
  <c r="P318" i="7"/>
  <c r="P320" i="7"/>
  <c r="P321" i="7"/>
  <c r="P322" i="7"/>
  <c r="P323" i="7"/>
  <c r="P324" i="7"/>
  <c r="P325" i="7"/>
  <c r="P326" i="7"/>
  <c r="Q326" i="7" s="1"/>
  <c r="P327" i="7"/>
  <c r="P328" i="7"/>
  <c r="P329" i="7"/>
  <c r="P330" i="7"/>
  <c r="P331" i="7"/>
  <c r="P333" i="7"/>
  <c r="P334" i="7"/>
  <c r="P335" i="7"/>
  <c r="P336" i="7"/>
  <c r="P337" i="7"/>
  <c r="P338" i="7"/>
  <c r="P339" i="7"/>
  <c r="P340" i="7"/>
  <c r="P341" i="7"/>
  <c r="S341" i="7"/>
  <c r="Q341" i="7"/>
  <c r="R341" i="7" s="1"/>
  <c r="P342" i="7"/>
  <c r="P343" i="7"/>
  <c r="Q343" i="7"/>
  <c r="R343" i="7" s="1"/>
  <c r="P344" i="7"/>
  <c r="S344" i="7"/>
  <c r="P345" i="7"/>
  <c r="P346" i="7"/>
  <c r="P347" i="7"/>
  <c r="P348" i="7"/>
  <c r="P349" i="7"/>
  <c r="Q349" i="7"/>
  <c r="R349" i="7" s="1"/>
  <c r="S349" i="7"/>
  <c r="P350" i="7"/>
  <c r="P351" i="7"/>
  <c r="S351" i="7"/>
  <c r="P352" i="7"/>
  <c r="P353" i="7"/>
  <c r="S353" i="7"/>
  <c r="P354" i="7"/>
  <c r="Q354" i="7"/>
  <c r="P355" i="7"/>
  <c r="P356" i="7"/>
  <c r="P357" i="7"/>
  <c r="P358" i="7"/>
  <c r="Q358" i="7" s="1"/>
  <c r="S358" i="7"/>
  <c r="P359" i="7"/>
  <c r="P360" i="7"/>
  <c r="P361" i="7"/>
  <c r="S361" i="7"/>
  <c r="P362" i="7"/>
  <c r="Q362" i="7" s="1"/>
  <c r="S362" i="7"/>
  <c r="P363" i="7"/>
  <c r="Q363" i="7"/>
  <c r="R363" i="7" s="1"/>
  <c r="S363" i="7"/>
  <c r="P364" i="7"/>
  <c r="Q364" i="7"/>
  <c r="R364" i="7"/>
  <c r="V364" i="7" s="1"/>
  <c r="X364" i="7" s="1"/>
  <c r="T364" i="7"/>
  <c r="U364" i="7"/>
  <c r="W364" i="7" s="1"/>
  <c r="S364" i="7"/>
  <c r="P365" i="7"/>
  <c r="S365" i="7"/>
  <c r="Q365" i="7"/>
  <c r="R365" i="7" s="1"/>
  <c r="P366" i="7"/>
  <c r="S366" i="7"/>
  <c r="P367" i="7"/>
  <c r="Q367" i="7"/>
  <c r="P368" i="7"/>
  <c r="P369" i="7"/>
  <c r="S369" i="7"/>
  <c r="Q369" i="7"/>
  <c r="R369" i="7" s="1"/>
  <c r="P370" i="7"/>
  <c r="S370" i="7"/>
  <c r="P371" i="7"/>
  <c r="S371" i="7"/>
  <c r="P372" i="7"/>
  <c r="S372" i="7"/>
  <c r="Q372" i="7"/>
  <c r="P373" i="7"/>
  <c r="S373" i="7"/>
  <c r="P374" i="7"/>
  <c r="Q374" i="7" s="1"/>
  <c r="S374" i="7"/>
  <c r="P396" i="7"/>
  <c r="P397" i="7"/>
  <c r="S397" i="7"/>
  <c r="P398" i="7"/>
  <c r="P399" i="7"/>
  <c r="P400" i="7"/>
  <c r="P401" i="7"/>
  <c r="P402" i="7"/>
  <c r="S402" i="7"/>
  <c r="P403" i="7"/>
  <c r="P404" i="7"/>
  <c r="P405" i="7"/>
  <c r="Q405" i="7"/>
  <c r="R405" i="7"/>
  <c r="V405" i="7" s="1"/>
  <c r="X405" i="7" s="1"/>
  <c r="S405" i="7"/>
  <c r="T405" i="7"/>
  <c r="U405" i="7"/>
  <c r="W405" i="7" s="1"/>
  <c r="P406" i="7"/>
  <c r="S406" i="7"/>
  <c r="Q406" i="7"/>
  <c r="R406" i="7" s="1"/>
  <c r="P407" i="7"/>
  <c r="P408" i="7"/>
  <c r="S408" i="7"/>
  <c r="P409" i="7"/>
  <c r="Q409" i="7"/>
  <c r="R409" i="7" s="1"/>
  <c r="P410" i="7"/>
  <c r="S410" i="7"/>
  <c r="P411" i="7"/>
  <c r="Q411" i="7"/>
  <c r="R411" i="7" s="1"/>
  <c r="P412" i="7"/>
  <c r="Q412" i="7"/>
  <c r="S412" i="7"/>
  <c r="T412" i="7"/>
  <c r="P413" i="7"/>
  <c r="Q413" i="7"/>
  <c r="R413" i="7"/>
  <c r="V413" i="7" s="1"/>
  <c r="X413" i="7" s="1"/>
  <c r="S413" i="7"/>
  <c r="T413" i="7"/>
  <c r="U413" i="7"/>
  <c r="W413" i="7" s="1"/>
  <c r="P414" i="7"/>
  <c r="P415" i="7"/>
  <c r="P416" i="7"/>
  <c r="P417" i="7"/>
  <c r="Q417" i="7"/>
  <c r="R417" i="7" s="1"/>
  <c r="P418" i="7"/>
  <c r="P419" i="7"/>
  <c r="P420" i="7"/>
  <c r="Q420" i="7"/>
  <c r="S420" i="7"/>
  <c r="T420" i="7"/>
  <c r="P421" i="7"/>
  <c r="P424" i="7"/>
  <c r="Q424" i="7"/>
  <c r="P425" i="7"/>
  <c r="P426" i="7"/>
  <c r="P427" i="7"/>
  <c r="P428" i="7"/>
  <c r="P429" i="7"/>
  <c r="P438" i="7"/>
  <c r="P462" i="7"/>
  <c r="P472" i="7"/>
  <c r="P473" i="7"/>
  <c r="P474" i="7"/>
  <c r="P475" i="7"/>
  <c r="P476" i="7"/>
  <c r="P477" i="7"/>
  <c r="P479" i="7"/>
  <c r="P480" i="7"/>
  <c r="Q480" i="7"/>
  <c r="R480" i="7" s="1"/>
  <c r="S480" i="7"/>
  <c r="P481" i="7"/>
  <c r="P482" i="7"/>
  <c r="P483" i="7"/>
  <c r="S483" i="7" s="1"/>
  <c r="Q483" i="7"/>
  <c r="R483" i="7" s="1"/>
  <c r="P484" i="7"/>
  <c r="P485" i="7"/>
  <c r="Q485" i="7" s="1"/>
  <c r="S485" i="7"/>
  <c r="P486" i="7"/>
  <c r="S486" i="7"/>
  <c r="Q486" i="7"/>
  <c r="P487" i="7"/>
  <c r="P488" i="7"/>
  <c r="S488" i="7"/>
  <c r="Q488" i="7"/>
  <c r="R488" i="7" s="1"/>
  <c r="P489" i="7"/>
  <c r="Q489" i="7"/>
  <c r="R489" i="7" s="1"/>
  <c r="S489" i="7"/>
  <c r="P490" i="7"/>
  <c r="P491" i="7"/>
  <c r="P492" i="7"/>
  <c r="P493" i="7"/>
  <c r="P494" i="7"/>
  <c r="P495" i="7"/>
  <c r="P496" i="7"/>
  <c r="P497" i="7"/>
  <c r="S276" i="7"/>
  <c r="Q276" i="7"/>
  <c r="Q470" i="7"/>
  <c r="S470" i="7"/>
  <c r="R73" i="7"/>
  <c r="R74" i="7"/>
  <c r="R75" i="7"/>
  <c r="R76" i="7"/>
  <c r="R77" i="7"/>
  <c r="R79" i="7"/>
  <c r="R80" i="7"/>
  <c r="R81" i="7"/>
  <c r="R83" i="7"/>
  <c r="R84" i="7"/>
  <c r="R89" i="7"/>
  <c r="R90" i="7"/>
  <c r="R91" i="7"/>
  <c r="R92" i="7"/>
  <c r="R169" i="7"/>
  <c r="R171" i="7"/>
  <c r="R173" i="7"/>
  <c r="R174" i="7"/>
  <c r="R177" i="7"/>
  <c r="R178" i="7"/>
  <c r="R179" i="7"/>
  <c r="V179" i="7" s="1"/>
  <c r="X179" i="7" s="1"/>
  <c r="U179" i="7"/>
  <c r="W179" i="7" s="1"/>
  <c r="R180" i="7"/>
  <c r="R181" i="7"/>
  <c r="V181" i="7" s="1"/>
  <c r="X181" i="7" s="1"/>
  <c r="U181" i="7"/>
  <c r="W181" i="7" s="1"/>
  <c r="S190" i="7"/>
  <c r="T190" i="7"/>
  <c r="R190" i="7"/>
  <c r="Q192" i="7"/>
  <c r="S192" i="7"/>
  <c r="S193" i="7"/>
  <c r="T193" i="7"/>
  <c r="R193" i="7"/>
  <c r="Q198" i="7"/>
  <c r="S198" i="7"/>
  <c r="S202" i="7"/>
  <c r="T202" i="7"/>
  <c r="R202" i="7"/>
  <c r="V202" i="7" s="1"/>
  <c r="X202" i="7" s="1"/>
  <c r="U202" i="7"/>
  <c r="W202" i="7" s="1"/>
  <c r="Q203" i="7"/>
  <c r="S203" i="7"/>
  <c r="Q204" i="7"/>
  <c r="T204" i="7"/>
  <c r="Q230" i="7"/>
  <c r="S230" i="7"/>
  <c r="S231" i="7"/>
  <c r="Q231" i="7"/>
  <c r="T231" i="7" s="1"/>
  <c r="Q237" i="7"/>
  <c r="S237" i="7"/>
  <c r="Q242" i="7"/>
  <c r="S242" i="7"/>
  <c r="Q244" i="7"/>
  <c r="S244" i="7"/>
  <c r="Q246" i="7"/>
  <c r="S246" i="7"/>
  <c r="Q248" i="7"/>
  <c r="S248" i="7"/>
  <c r="Q250" i="7"/>
  <c r="S250" i="7"/>
  <c r="S254" i="7"/>
  <c r="Q254" i="7"/>
  <c r="Q256" i="7"/>
  <c r="S256" i="7"/>
  <c r="Q258" i="7"/>
  <c r="S258" i="7"/>
  <c r="S260" i="7"/>
  <c r="Q260" i="7"/>
  <c r="Q262" i="7"/>
  <c r="S262" i="7"/>
  <c r="S273" i="7"/>
  <c r="Q273" i="7"/>
  <c r="Q277" i="7"/>
  <c r="S277" i="7"/>
  <c r="S282" i="7"/>
  <c r="Q282" i="7"/>
  <c r="Q289" i="7"/>
  <c r="S289" i="7"/>
  <c r="Q293" i="7"/>
  <c r="S293" i="7"/>
  <c r="Q300" i="7"/>
  <c r="S300" i="7"/>
  <c r="S302" i="7"/>
  <c r="Q302" i="7"/>
  <c r="Q305" i="7"/>
  <c r="S305" i="7"/>
  <c r="Q306" i="7"/>
  <c r="S306" i="7"/>
  <c r="Q310" i="7"/>
  <c r="S310" i="7"/>
  <c r="Q315" i="7"/>
  <c r="S315" i="7"/>
  <c r="Q316" i="7"/>
  <c r="S316" i="7"/>
  <c r="Q319" i="7"/>
  <c r="S319" i="7"/>
  <c r="S332" i="7"/>
  <c r="Q332" i="7"/>
  <c r="S376" i="7"/>
  <c r="T376" i="7"/>
  <c r="R376" i="7"/>
  <c r="T389" i="7"/>
  <c r="S389" i="7"/>
  <c r="R389" i="7"/>
  <c r="T394" i="7"/>
  <c r="S394" i="7"/>
  <c r="R394" i="7"/>
  <c r="Q422" i="7"/>
  <c r="T422" i="7" s="1"/>
  <c r="S422" i="7"/>
  <c r="Q423" i="7"/>
  <c r="S423" i="7"/>
  <c r="T423" i="7"/>
  <c r="Q430" i="7"/>
  <c r="T430" i="7"/>
  <c r="S430" i="7"/>
  <c r="Q431" i="7"/>
  <c r="T431" i="7"/>
  <c r="S431" i="7"/>
  <c r="Q432" i="7"/>
  <c r="S432" i="7"/>
  <c r="T432" i="7"/>
  <c r="Q433" i="7"/>
  <c r="T433" i="7" s="1"/>
  <c r="S433" i="7"/>
  <c r="Q434" i="7"/>
  <c r="T434" i="7" s="1"/>
  <c r="S434" i="7"/>
  <c r="Q435" i="7"/>
  <c r="T435" i="7"/>
  <c r="S435" i="7"/>
  <c r="S436" i="7"/>
  <c r="Q436" i="7"/>
  <c r="T436" i="7" s="1"/>
  <c r="Q437" i="7"/>
  <c r="S437" i="7"/>
  <c r="Q439" i="7"/>
  <c r="S439" i="7"/>
  <c r="S440" i="7"/>
  <c r="Q440" i="7"/>
  <c r="T440" i="7" s="1"/>
  <c r="S441" i="7"/>
  <c r="Q441" i="7"/>
  <c r="S442" i="7"/>
  <c r="Q442" i="7"/>
  <c r="T442" i="7" s="1"/>
  <c r="Q443" i="7"/>
  <c r="T443" i="7" s="1"/>
  <c r="S443" i="7"/>
  <c r="Q444" i="7"/>
  <c r="S444" i="7"/>
  <c r="Q445" i="7"/>
  <c r="T445" i="7" s="1"/>
  <c r="S445" i="7"/>
  <c r="Q446" i="7"/>
  <c r="T446" i="7" s="1"/>
  <c r="S446" i="7"/>
  <c r="Q447" i="7"/>
  <c r="T447" i="7" s="1"/>
  <c r="S447" i="7"/>
  <c r="S448" i="7"/>
  <c r="Q448" i="7"/>
  <c r="T448" i="7" s="1"/>
  <c r="Q449" i="7"/>
  <c r="T449" i="7" s="1"/>
  <c r="S449" i="7"/>
  <c r="S450" i="7"/>
  <c r="Q450" i="7"/>
  <c r="T450" i="7" s="1"/>
  <c r="Q451" i="7"/>
  <c r="T451" i="7" s="1"/>
  <c r="S451" i="7"/>
  <c r="Q452" i="7"/>
  <c r="T452" i="7" s="1"/>
  <c r="S452" i="7"/>
  <c r="S453" i="7"/>
  <c r="Q453" i="7"/>
  <c r="T453" i="7" s="1"/>
  <c r="Q454" i="7"/>
  <c r="T454" i="7" s="1"/>
  <c r="S454" i="7"/>
  <c r="Q455" i="7"/>
  <c r="T455" i="7" s="1"/>
  <c r="S455" i="7"/>
  <c r="Q456" i="7"/>
  <c r="T456" i="7" s="1"/>
  <c r="S456" i="7"/>
  <c r="S457" i="7"/>
  <c r="Q457" i="7"/>
  <c r="T457" i="7" s="1"/>
  <c r="S458" i="7"/>
  <c r="Q458" i="7"/>
  <c r="T458" i="7" s="1"/>
  <c r="S459" i="7"/>
  <c r="Q459" i="7"/>
  <c r="T459" i="7" s="1"/>
  <c r="Q460" i="7"/>
  <c r="T460" i="7" s="1"/>
  <c r="S460" i="7"/>
  <c r="Q461" i="7"/>
  <c r="T461" i="7" s="1"/>
  <c r="S461" i="7"/>
  <c r="Q463" i="7"/>
  <c r="T463" i="7" s="1"/>
  <c r="S463" i="7"/>
  <c r="Q464" i="7"/>
  <c r="T464" i="7" s="1"/>
  <c r="S464" i="7"/>
  <c r="Q465" i="7"/>
  <c r="T465" i="7" s="1"/>
  <c r="S465" i="7"/>
  <c r="S466" i="7"/>
  <c r="Q466" i="7"/>
  <c r="T466" i="7" s="1"/>
  <c r="S467" i="7"/>
  <c r="Q467" i="7"/>
  <c r="T467" i="7" s="1"/>
  <c r="Q468" i="7"/>
  <c r="T468" i="7" s="1"/>
  <c r="S468" i="7"/>
  <c r="S469" i="7"/>
  <c r="Q469" i="7"/>
  <c r="T469" i="7" s="1"/>
  <c r="R471" i="7"/>
  <c r="T471" i="7"/>
  <c r="P2" i="7"/>
  <c r="Q2" i="7" s="1"/>
  <c r="R2" i="7" s="1"/>
  <c r="P478" i="7"/>
  <c r="R189" i="7" l="1"/>
  <c r="T189" i="7"/>
  <c r="R205" i="7"/>
  <c r="T205" i="7"/>
  <c r="R253" i="7"/>
  <c r="T253" i="7"/>
  <c r="T263" i="7"/>
  <c r="R263" i="7"/>
  <c r="T264" i="7"/>
  <c r="R264" i="7"/>
  <c r="T266" i="7"/>
  <c r="R266" i="7"/>
  <c r="T267" i="7"/>
  <c r="R267" i="7"/>
  <c r="T269" i="7"/>
  <c r="R269" i="7"/>
  <c r="T271" i="7"/>
  <c r="R271" i="7"/>
  <c r="T274" i="7"/>
  <c r="R274" i="7"/>
  <c r="R275" i="7"/>
  <c r="V275" i="7" s="1"/>
  <c r="X275" i="7" s="1"/>
  <c r="U275" i="7"/>
  <c r="W275" i="7" s="1"/>
  <c r="T278" i="7"/>
  <c r="R278" i="7"/>
  <c r="T279" i="7"/>
  <c r="R279" i="7"/>
  <c r="T280" i="7"/>
  <c r="R280" i="7"/>
  <c r="R281" i="7"/>
  <c r="T281" i="7"/>
  <c r="T286" i="7"/>
  <c r="R286" i="7"/>
  <c r="R287" i="7"/>
  <c r="T287" i="7"/>
  <c r="T288" i="7"/>
  <c r="R288" i="7"/>
  <c r="T375" i="7"/>
  <c r="R375" i="7"/>
  <c r="T377" i="7"/>
  <c r="R377" i="7"/>
  <c r="R378" i="7"/>
  <c r="T378" i="7"/>
  <c r="T53" i="7"/>
  <c r="R53" i="7"/>
  <c r="T54" i="7"/>
  <c r="R54" i="7"/>
  <c r="T55" i="7"/>
  <c r="R55" i="7"/>
  <c r="S56" i="7"/>
  <c r="T56" i="7"/>
  <c r="T57" i="7"/>
  <c r="R57" i="7"/>
  <c r="Q59" i="7"/>
  <c r="S59" i="7"/>
  <c r="Q61" i="7"/>
  <c r="S61" i="7"/>
  <c r="Q251" i="7"/>
  <c r="S251" i="7"/>
  <c r="V471" i="7"/>
  <c r="X471" i="7" s="1"/>
  <c r="U471" i="7"/>
  <c r="W471" i="7" s="1"/>
  <c r="T480" i="7"/>
  <c r="T488" i="7"/>
  <c r="T380" i="7"/>
  <c r="R380" i="7"/>
  <c r="R381" i="7"/>
  <c r="V381" i="7" s="1"/>
  <c r="X381" i="7" s="1"/>
  <c r="U381" i="7"/>
  <c r="W381" i="7" s="1"/>
  <c r="R382" i="7"/>
  <c r="V382" i="7" s="1"/>
  <c r="X382" i="7" s="1"/>
  <c r="U382" i="7"/>
  <c r="W382" i="7" s="1"/>
  <c r="T383" i="7"/>
  <c r="R383" i="7"/>
  <c r="T385" i="7"/>
  <c r="R385" i="7"/>
  <c r="Q3" i="7"/>
  <c r="S3" i="7"/>
  <c r="S58" i="7"/>
  <c r="Q58" i="7"/>
  <c r="R59" i="7"/>
  <c r="T59" i="7"/>
  <c r="Q60" i="7"/>
  <c r="S60" i="7"/>
  <c r="R61" i="7"/>
  <c r="T61" i="7"/>
  <c r="S63" i="7"/>
  <c r="Q63" i="7"/>
  <c r="Q64" i="7"/>
  <c r="S64" i="7"/>
  <c r="S65" i="7"/>
  <c r="Q65" i="7"/>
  <c r="Q67" i="7"/>
  <c r="S67" i="7"/>
  <c r="S68" i="7"/>
  <c r="Q68" i="7"/>
  <c r="Q69" i="7"/>
  <c r="S69" i="7"/>
  <c r="S70" i="7"/>
  <c r="Q70" i="7"/>
  <c r="S71" i="7"/>
  <c r="Q71" i="7"/>
  <c r="S72" i="7"/>
  <c r="Q72" i="7"/>
  <c r="T99" i="7"/>
  <c r="R99" i="7"/>
  <c r="T101" i="7"/>
  <c r="R101" i="7"/>
  <c r="T102" i="7"/>
  <c r="R102" i="7"/>
  <c r="T104" i="7"/>
  <c r="R104" i="7"/>
  <c r="S124" i="7"/>
  <c r="Q124" i="7"/>
  <c r="S125" i="7"/>
  <c r="Q125" i="7"/>
  <c r="Q127" i="7"/>
  <c r="S127" i="7"/>
  <c r="S128" i="7"/>
  <c r="Q128" i="7"/>
  <c r="Q129" i="7"/>
  <c r="S129" i="7"/>
  <c r="S130" i="7"/>
  <c r="Q130" i="7"/>
  <c r="S131" i="7"/>
  <c r="Q131" i="7"/>
  <c r="Q132" i="7"/>
  <c r="S132" i="7"/>
  <c r="Q134" i="7"/>
  <c r="S134" i="7"/>
  <c r="Q136" i="7"/>
  <c r="S136" i="7"/>
  <c r="Q138" i="7"/>
  <c r="S138" i="7"/>
  <c r="S139" i="7"/>
  <c r="Q139" i="7"/>
  <c r="S141" i="7"/>
  <c r="Q141" i="7"/>
  <c r="Q142" i="7"/>
  <c r="S142" i="7"/>
  <c r="Q143" i="7"/>
  <c r="S143" i="7"/>
  <c r="Q144" i="7"/>
  <c r="S144" i="7"/>
  <c r="S145" i="7"/>
  <c r="Q145" i="7"/>
  <c r="Q146" i="7"/>
  <c r="S147" i="7"/>
  <c r="Q147" i="7"/>
  <c r="Q148" i="7"/>
  <c r="S148" i="7"/>
  <c r="S149" i="7"/>
  <c r="Q149" i="7"/>
  <c r="Q150" i="7"/>
  <c r="S150" i="7"/>
  <c r="S151" i="7"/>
  <c r="Q151" i="7"/>
  <c r="S152" i="7"/>
  <c r="Q152" i="7"/>
  <c r="S154" i="7"/>
  <c r="Q154" i="7"/>
  <c r="S158" i="7"/>
  <c r="Q158" i="7"/>
  <c r="Q159" i="7"/>
  <c r="S159" i="7"/>
  <c r="Q160" i="7"/>
  <c r="S160" i="7"/>
  <c r="S161" i="7"/>
  <c r="Q161" i="7"/>
  <c r="Q162" i="7"/>
  <c r="S162" i="7"/>
  <c r="Q163" i="7"/>
  <c r="S163" i="7"/>
  <c r="S164" i="7"/>
  <c r="Q164" i="7"/>
  <c r="S165" i="7"/>
  <c r="Q165" i="7"/>
  <c r="Q166" i="7"/>
  <c r="S166" i="7"/>
  <c r="S167" i="7"/>
  <c r="Q167" i="7"/>
  <c r="S168" i="7"/>
  <c r="Q168" i="7"/>
  <c r="S182" i="7"/>
  <c r="Q182" i="7"/>
  <c r="Q183" i="7"/>
  <c r="S183" i="7"/>
  <c r="S213" i="7"/>
  <c r="Q213" i="7"/>
  <c r="S215" i="7"/>
  <c r="Q215" i="7"/>
  <c r="T215" i="7" s="1"/>
  <c r="R386" i="7"/>
  <c r="T388" i="7"/>
  <c r="R388" i="7"/>
  <c r="T391" i="7"/>
  <c r="R391" i="7"/>
  <c r="R395" i="7"/>
  <c r="T395" i="7"/>
  <c r="R85" i="7"/>
  <c r="T85" i="7"/>
  <c r="Q86" i="7"/>
  <c r="S86" i="7"/>
  <c r="S87" i="7"/>
  <c r="Q87" i="7"/>
  <c r="S88" i="7"/>
  <c r="Q88" i="7"/>
  <c r="S94" i="7"/>
  <c r="Q94" i="7"/>
  <c r="S95" i="7"/>
  <c r="Q95" i="7"/>
  <c r="Q96" i="7"/>
  <c r="S96" i="7"/>
  <c r="Q97" i="7"/>
  <c r="S97" i="7"/>
  <c r="T107" i="7"/>
  <c r="R107" i="7"/>
  <c r="Q155" i="7"/>
  <c r="S155" i="7"/>
  <c r="S156" i="7"/>
  <c r="Q156" i="7"/>
  <c r="S157" i="7"/>
  <c r="Q157" i="7"/>
  <c r="Q333" i="7"/>
  <c r="S333" i="7"/>
  <c r="Q334" i="7"/>
  <c r="S334" i="7"/>
  <c r="Q335" i="7"/>
  <c r="T335" i="7" s="1"/>
  <c r="S335" i="7"/>
  <c r="Q337" i="7"/>
  <c r="R337" i="7" s="1"/>
  <c r="S337" i="7"/>
  <c r="S338" i="7"/>
  <c r="Q338" i="7"/>
  <c r="Q340" i="7"/>
  <c r="S340" i="7"/>
  <c r="R486" i="7"/>
  <c r="Q490" i="7"/>
  <c r="T490" i="7"/>
  <c r="S490" i="7"/>
  <c r="S491" i="7"/>
  <c r="Q491" i="7"/>
  <c r="Q492" i="7"/>
  <c r="S492" i="7"/>
  <c r="S493" i="7"/>
  <c r="Q493" i="7"/>
  <c r="Q494" i="7"/>
  <c r="S494" i="7"/>
  <c r="Q495" i="7"/>
  <c r="S495" i="7"/>
  <c r="S496" i="7"/>
  <c r="Q496" i="7"/>
  <c r="S497" i="7"/>
  <c r="Q497" i="7"/>
  <c r="R276" i="7"/>
  <c r="T276" i="7"/>
  <c r="R470" i="7"/>
  <c r="T470" i="7"/>
  <c r="V56" i="7"/>
  <c r="X56" i="7" s="1"/>
  <c r="U56" i="7"/>
  <c r="W56" i="7" s="1"/>
  <c r="V74" i="7"/>
  <c r="X74" i="7" s="1"/>
  <c r="U74" i="7"/>
  <c r="W74" i="7" s="1"/>
  <c r="V75" i="7"/>
  <c r="X75" i="7" s="1"/>
  <c r="U75" i="7"/>
  <c r="W75" i="7" s="1"/>
  <c r="V77" i="7"/>
  <c r="X77" i="7" s="1"/>
  <c r="U77" i="7"/>
  <c r="W77" i="7" s="1"/>
  <c r="V79" i="7"/>
  <c r="X79" i="7" s="1"/>
  <c r="U79" i="7"/>
  <c r="W79" i="7" s="1"/>
  <c r="V83" i="7"/>
  <c r="X83" i="7" s="1"/>
  <c r="U83" i="7"/>
  <c r="W83" i="7" s="1"/>
  <c r="V89" i="7"/>
  <c r="X89" i="7" s="1"/>
  <c r="U89" i="7"/>
  <c r="W89" i="7" s="1"/>
  <c r="V91" i="7"/>
  <c r="X91" i="7" s="1"/>
  <c r="U91" i="7"/>
  <c r="W91" i="7" s="1"/>
  <c r="V100" i="7"/>
  <c r="X100" i="7" s="1"/>
  <c r="U100" i="7"/>
  <c r="W100" i="7" s="1"/>
  <c r="V103" i="7"/>
  <c r="X103" i="7" s="1"/>
  <c r="U103" i="7"/>
  <c r="W103" i="7" s="1"/>
  <c r="R195" i="7"/>
  <c r="R196" i="7"/>
  <c r="T199" i="7"/>
  <c r="R199" i="7"/>
  <c r="R201" i="7"/>
  <c r="R265" i="7"/>
  <c r="R268" i="7"/>
  <c r="T379" i="7"/>
  <c r="R379" i="7"/>
  <c r="T334" i="7"/>
  <c r="T337" i="7"/>
  <c r="T341" i="7"/>
  <c r="T349" i="7"/>
  <c r="T363" i="7"/>
  <c r="T365" i="7"/>
  <c r="T369" i="7"/>
  <c r="T372" i="7"/>
  <c r="T374" i="7"/>
  <c r="T406" i="7"/>
  <c r="R191" i="7"/>
  <c r="T191" i="7"/>
  <c r="R194" i="7"/>
  <c r="T194" i="7"/>
  <c r="R200" i="7"/>
  <c r="V200" i="7" s="1"/>
  <c r="X200" i="7" s="1"/>
  <c r="U200" i="7"/>
  <c r="W200" i="7" s="1"/>
  <c r="R270" i="7"/>
  <c r="T270" i="7"/>
  <c r="R272" i="7"/>
  <c r="T272" i="7"/>
  <c r="R384" i="7"/>
  <c r="T384" i="7"/>
  <c r="R387" i="7"/>
  <c r="T387" i="7"/>
  <c r="R390" i="7"/>
  <c r="V390" i="7" s="1"/>
  <c r="X390" i="7" s="1"/>
  <c r="U390" i="7"/>
  <c r="W390" i="7" s="1"/>
  <c r="T390" i="7"/>
  <c r="R392" i="7"/>
  <c r="V392" i="7" s="1"/>
  <c r="X392" i="7" s="1"/>
  <c r="U392" i="7"/>
  <c r="W392" i="7" s="1"/>
  <c r="T393" i="7"/>
  <c r="R393" i="7"/>
  <c r="S5" i="7"/>
  <c r="Q5" i="7"/>
  <c r="S8" i="7"/>
  <c r="Q8" i="7"/>
  <c r="S14" i="7"/>
  <c r="Q14" i="7"/>
  <c r="S109" i="7"/>
  <c r="Q109" i="7"/>
  <c r="Q184" i="7"/>
  <c r="S184" i="7"/>
  <c r="S185" i="7"/>
  <c r="Q185" i="7"/>
  <c r="S186" i="7"/>
  <c r="Q186" i="7"/>
  <c r="S187" i="7"/>
  <c r="Q187" i="7"/>
  <c r="S208" i="7"/>
  <c r="Q208" i="7"/>
  <c r="T208" i="7" s="1"/>
  <c r="S211" i="7"/>
  <c r="Q211" i="7"/>
  <c r="T211" i="7" s="1"/>
  <c r="Q212" i="7"/>
  <c r="S212" i="7"/>
  <c r="S217" i="7"/>
  <c r="Q217" i="7"/>
  <c r="T217" i="7" s="1"/>
  <c r="S220" i="7"/>
  <c r="Q220" i="7"/>
  <c r="S225" i="7"/>
  <c r="Q225" i="7"/>
  <c r="T225" i="7" s="1"/>
  <c r="S233" i="7"/>
  <c r="Q233" i="7"/>
  <c r="T233" i="7" s="1"/>
  <c r="T239" i="7"/>
  <c r="R239" i="7"/>
  <c r="Q240" i="7"/>
  <c r="T240" i="7" s="1"/>
  <c r="S240" i="7"/>
  <c r="Q241" i="7"/>
  <c r="T241" i="7" s="1"/>
  <c r="S241" i="7"/>
  <c r="S243" i="7"/>
  <c r="Q243" i="7"/>
  <c r="T243" i="7" s="1"/>
  <c r="Q245" i="7"/>
  <c r="S245" i="7"/>
  <c r="S247" i="7"/>
  <c r="Q247" i="7"/>
  <c r="T251" i="7"/>
  <c r="R251" i="7"/>
  <c r="Q252" i="7"/>
  <c r="S252" i="7"/>
  <c r="Q284" i="7"/>
  <c r="S284" i="7"/>
  <c r="Q290" i="7"/>
  <c r="S290" i="7"/>
  <c r="Q294" i="7"/>
  <c r="S294" i="7"/>
  <c r="S297" i="7"/>
  <c r="Q297" i="7"/>
  <c r="Q298" i="7"/>
  <c r="S298" i="7"/>
  <c r="T298" i="7"/>
  <c r="S299" i="7"/>
  <c r="Q299" i="7"/>
  <c r="S301" i="7"/>
  <c r="Q301" i="7"/>
  <c r="S303" i="7"/>
  <c r="Q303" i="7"/>
  <c r="S309" i="7"/>
  <c r="Q309" i="7"/>
  <c r="T309" i="7" s="1"/>
  <c r="Q312" i="7"/>
  <c r="T312" i="7" s="1"/>
  <c r="S312" i="7"/>
  <c r="S317" i="7"/>
  <c r="Q317" i="7"/>
  <c r="S321" i="7"/>
  <c r="Q321" i="7"/>
  <c r="Q322" i="7"/>
  <c r="S322" i="7"/>
  <c r="Q414" i="7"/>
  <c r="S414" i="7"/>
  <c r="S417" i="7"/>
  <c r="T417" i="7"/>
  <c r="R420" i="7"/>
  <c r="V420" i="7" s="1"/>
  <c r="X420" i="7" s="1"/>
  <c r="U420" i="7"/>
  <c r="W420" i="7" s="1"/>
  <c r="S424" i="7"/>
  <c r="T424" i="7"/>
  <c r="R424" i="7"/>
  <c r="Q426" i="7"/>
  <c r="S426" i="7"/>
  <c r="Q429" i="7"/>
  <c r="S429" i="7"/>
  <c r="Q438" i="7"/>
  <c r="S438" i="7"/>
  <c r="S462" i="7"/>
  <c r="Q462" i="7"/>
  <c r="Q472" i="7"/>
  <c r="S472" i="7"/>
  <c r="T472" i="7"/>
  <c r="S473" i="7"/>
  <c r="Q473" i="7"/>
  <c r="S474" i="7"/>
  <c r="Q474" i="7"/>
  <c r="Q476" i="7"/>
  <c r="S476" i="7"/>
  <c r="Q477" i="7"/>
  <c r="S477" i="7"/>
  <c r="Q479" i="7"/>
  <c r="S479" i="7"/>
  <c r="V255" i="7"/>
  <c r="X255" i="7" s="1"/>
  <c r="U255" i="7"/>
  <c r="W255" i="7" s="1"/>
  <c r="V257" i="7"/>
  <c r="X257" i="7" s="1"/>
  <c r="U257" i="7"/>
  <c r="W257" i="7" s="1"/>
  <c r="V259" i="7"/>
  <c r="X259" i="7" s="1"/>
  <c r="U259" i="7"/>
  <c r="W259" i="7" s="1"/>
  <c r="V263" i="7"/>
  <c r="X263" i="7" s="1"/>
  <c r="U263" i="7"/>
  <c r="W263" i="7" s="1"/>
  <c r="V266" i="7"/>
  <c r="X266" i="7" s="1"/>
  <c r="U266" i="7"/>
  <c r="W266" i="7" s="1"/>
  <c r="V271" i="7"/>
  <c r="X271" i="7" s="1"/>
  <c r="U271" i="7"/>
  <c r="W271" i="7" s="1"/>
  <c r="V274" i="7"/>
  <c r="X274" i="7" s="1"/>
  <c r="U274" i="7"/>
  <c r="W274" i="7" s="1"/>
  <c r="V287" i="7"/>
  <c r="X287" i="7" s="1"/>
  <c r="U287" i="7"/>
  <c r="W287" i="7" s="1"/>
  <c r="V376" i="7"/>
  <c r="X376" i="7" s="1"/>
  <c r="U376" i="7"/>
  <c r="W376" i="7" s="1"/>
  <c r="R93" i="7"/>
  <c r="T93" i="7"/>
  <c r="S93" i="7"/>
  <c r="S176" i="7"/>
  <c r="T176" i="7"/>
  <c r="T483" i="7"/>
  <c r="T486" i="7"/>
  <c r="T489" i="7"/>
  <c r="Q4" i="7"/>
  <c r="S4" i="7"/>
  <c r="Q6" i="7"/>
  <c r="S6" i="7"/>
  <c r="Q9" i="7"/>
  <c r="S9" i="7"/>
  <c r="Q10" i="7"/>
  <c r="T10" i="7" s="1"/>
  <c r="S10" i="7"/>
  <c r="Q11" i="7"/>
  <c r="S11" i="7"/>
  <c r="S12" i="7"/>
  <c r="Q12" i="7"/>
  <c r="T12" i="7" s="1"/>
  <c r="Q13" i="7"/>
  <c r="S13" i="7"/>
  <c r="Q15" i="7"/>
  <c r="S15" i="7"/>
  <c r="Q16" i="7"/>
  <c r="S16" i="7"/>
  <c r="S17" i="7"/>
  <c r="Q17" i="7"/>
  <c r="T17" i="7" s="1"/>
  <c r="Q18" i="7"/>
  <c r="S18" i="7"/>
  <c r="Q19" i="7"/>
  <c r="T19" i="7" s="1"/>
  <c r="S19" i="7"/>
  <c r="Q20" i="7"/>
  <c r="T20" i="7" s="1"/>
  <c r="S20" i="7"/>
  <c r="Q21" i="7"/>
  <c r="S21" i="7"/>
  <c r="S22" i="7"/>
  <c r="Q22" i="7"/>
  <c r="T22" i="7" s="1"/>
  <c r="Q23" i="7"/>
  <c r="S23" i="7"/>
  <c r="Q24" i="7"/>
  <c r="S24" i="7"/>
  <c r="Q25" i="7"/>
  <c r="S25" i="7"/>
  <c r="Q26" i="7"/>
  <c r="T26" i="7" s="1"/>
  <c r="S26" i="7"/>
  <c r="Q27" i="7"/>
  <c r="S27" i="7"/>
  <c r="S28" i="7"/>
  <c r="Q28" i="7"/>
  <c r="T28" i="7" s="1"/>
  <c r="S29" i="7"/>
  <c r="Q29" i="7"/>
  <c r="Q30" i="7"/>
  <c r="S30" i="7"/>
  <c r="Q31" i="7"/>
  <c r="S31" i="7"/>
  <c r="Q32" i="7"/>
  <c r="S32" i="7"/>
  <c r="Q33" i="7"/>
  <c r="S33" i="7"/>
  <c r="S34" i="7"/>
  <c r="Q34" i="7"/>
  <c r="T34" i="7" s="1"/>
  <c r="Q35" i="7"/>
  <c r="S35" i="7"/>
  <c r="S36" i="7"/>
  <c r="Q36" i="7"/>
  <c r="Q37" i="7"/>
  <c r="S37" i="7"/>
  <c r="S38" i="7"/>
  <c r="Q38" i="7"/>
  <c r="T38" i="7" s="1"/>
  <c r="Q39" i="7"/>
  <c r="S39" i="7"/>
  <c r="S40" i="7"/>
  <c r="Q40" i="7"/>
  <c r="S41" i="7"/>
  <c r="Q41" i="7"/>
  <c r="T41" i="7" s="1"/>
  <c r="Q42" i="7"/>
  <c r="S42" i="7"/>
  <c r="S43" i="7"/>
  <c r="Q43" i="7"/>
  <c r="Q44" i="7"/>
  <c r="S44" i="7"/>
  <c r="Q45" i="7"/>
  <c r="S45" i="7"/>
  <c r="Q46" i="7"/>
  <c r="T46" i="7" s="1"/>
  <c r="S46" i="7"/>
  <c r="Q47" i="7"/>
  <c r="S47" i="7"/>
  <c r="Q48" i="7"/>
  <c r="T48" i="7" s="1"/>
  <c r="S48" i="7"/>
  <c r="S49" i="7"/>
  <c r="Q49" i="7"/>
  <c r="Q50" i="7"/>
  <c r="S50" i="7"/>
  <c r="Q51" i="7"/>
  <c r="S51" i="7"/>
  <c r="Q52" i="7"/>
  <c r="T52" i="7" s="1"/>
  <c r="S52" i="7"/>
  <c r="S62" i="7"/>
  <c r="Q62" i="7"/>
  <c r="T62" i="7" s="1"/>
  <c r="S66" i="7"/>
  <c r="Q66" i="7"/>
  <c r="T66" i="7" s="1"/>
  <c r="S78" i="7"/>
  <c r="Q78" i="7"/>
  <c r="T78" i="7" s="1"/>
  <c r="S82" i="7"/>
  <c r="Q82" i="7"/>
  <c r="T82" i="7" s="1"/>
  <c r="S105" i="7"/>
  <c r="Q105" i="7"/>
  <c r="T105" i="7" s="1"/>
  <c r="S108" i="7"/>
  <c r="Q108" i="7"/>
  <c r="T108" i="7" s="1"/>
  <c r="Q116" i="7"/>
  <c r="T116" i="7" s="1"/>
  <c r="S116" i="7"/>
  <c r="S117" i="7"/>
  <c r="Q117" i="7"/>
  <c r="T117" i="7" s="1"/>
  <c r="S122" i="7"/>
  <c r="Q122" i="7"/>
  <c r="T122" i="7" s="1"/>
  <c r="S126" i="7"/>
  <c r="Q126" i="7"/>
  <c r="T126" i="7" s="1"/>
  <c r="S133" i="7"/>
  <c r="Q133" i="7"/>
  <c r="T133" i="7" s="1"/>
  <c r="S135" i="7"/>
  <c r="Q135" i="7"/>
  <c r="T135" i="7" s="1"/>
  <c r="S140" i="7"/>
  <c r="Q140" i="7"/>
  <c r="T140" i="7" s="1"/>
  <c r="Q153" i="7"/>
  <c r="T153" i="7" s="1"/>
  <c r="S153" i="7"/>
  <c r="Q170" i="7"/>
  <c r="S170" i="7"/>
  <c r="Q172" i="7"/>
  <c r="S172" i="7"/>
  <c r="Q175" i="7"/>
  <c r="S175" i="7"/>
  <c r="R176" i="7"/>
  <c r="Q188" i="7"/>
  <c r="S188" i="7"/>
  <c r="R3" i="7"/>
  <c r="T3" i="7"/>
  <c r="R7" i="7"/>
  <c r="T7" i="7"/>
  <c r="R111" i="7"/>
  <c r="T111" i="7"/>
  <c r="T112" i="7"/>
  <c r="R112" i="7"/>
  <c r="T113" i="7"/>
  <c r="R113" i="7"/>
  <c r="R114" i="7"/>
  <c r="T115" i="7"/>
  <c r="R115" i="7"/>
  <c r="R118" i="7"/>
  <c r="R119" i="7"/>
  <c r="T119" i="7"/>
  <c r="T120" i="7"/>
  <c r="R120" i="7"/>
  <c r="T121" i="7"/>
  <c r="R121" i="7"/>
  <c r="T123" i="7"/>
  <c r="R123" i="7"/>
  <c r="T137" i="7"/>
  <c r="R137" i="7"/>
  <c r="Q206" i="7"/>
  <c r="S207" i="7"/>
  <c r="T207" i="7"/>
  <c r="R207" i="7"/>
  <c r="Q209" i="7"/>
  <c r="S210" i="7"/>
  <c r="T210" i="7"/>
  <c r="R210" i="7"/>
  <c r="Q214" i="7"/>
  <c r="T214" i="7" s="1"/>
  <c r="T216" i="7"/>
  <c r="S216" i="7"/>
  <c r="R216" i="7"/>
  <c r="Q218" i="7"/>
  <c r="T218" i="7"/>
  <c r="S218" i="7"/>
  <c r="S219" i="7"/>
  <c r="Q219" i="7"/>
  <c r="S221" i="7"/>
  <c r="Q221" i="7"/>
  <c r="T221" i="7" s="1"/>
  <c r="Q222" i="7"/>
  <c r="T222" i="7" s="1"/>
  <c r="S223" i="7"/>
  <c r="T223" i="7"/>
  <c r="U223" i="7"/>
  <c r="W223" i="7" s="1"/>
  <c r="V223" i="7"/>
  <c r="X223" i="7" s="1"/>
  <c r="S224" i="7"/>
  <c r="Q224" i="7"/>
  <c r="Q226" i="7"/>
  <c r="S226" i="7"/>
  <c r="T226" i="7"/>
  <c r="S227" i="7"/>
  <c r="Q227" i="7"/>
  <c r="T227" i="7" s="1"/>
  <c r="S228" i="7"/>
  <c r="Q228" i="7"/>
  <c r="T228" i="7" s="1"/>
  <c r="Q229" i="7"/>
  <c r="Q232" i="7"/>
  <c r="S232" i="7"/>
  <c r="S234" i="7"/>
  <c r="Q234" i="7"/>
  <c r="T234" i="7" s="1"/>
  <c r="S235" i="7"/>
  <c r="Q235" i="7"/>
  <c r="Q236" i="7"/>
  <c r="S236" i="7"/>
  <c r="Q238" i="7"/>
  <c r="S238" i="7"/>
  <c r="S249" i="7"/>
  <c r="Q249" i="7"/>
  <c r="Q283" i="7"/>
  <c r="S283" i="7"/>
  <c r="Q285" i="7"/>
  <c r="S285" i="7"/>
  <c r="R290" i="7"/>
  <c r="T290" i="7"/>
  <c r="S291" i="7"/>
  <c r="Q291" i="7"/>
  <c r="Q292" i="7"/>
  <c r="T292" i="7" s="1"/>
  <c r="S292" i="7"/>
  <c r="T294" i="7"/>
  <c r="R294" i="7"/>
  <c r="S295" i="7"/>
  <c r="Q295" i="7"/>
  <c r="T295" i="7" s="1"/>
  <c r="Q296" i="7"/>
  <c r="T296" i="7" s="1"/>
  <c r="S296" i="7"/>
  <c r="S304" i="7"/>
  <c r="Q304" i="7"/>
  <c r="S307" i="7"/>
  <c r="Q307" i="7"/>
  <c r="T307" i="7" s="1"/>
  <c r="S308" i="7"/>
  <c r="Q308" i="7"/>
  <c r="T311" i="7"/>
  <c r="S311" i="7"/>
  <c r="T313" i="7"/>
  <c r="S313" i="7"/>
  <c r="R313" i="7"/>
  <c r="V313" i="7" s="1"/>
  <c r="X313" i="7" s="1"/>
  <c r="U313" i="7"/>
  <c r="W313" i="7" s="1"/>
  <c r="Q314" i="7"/>
  <c r="S314" i="7"/>
  <c r="S318" i="7"/>
  <c r="Q318" i="7"/>
  <c r="T318" i="7" s="1"/>
  <c r="S320" i="7"/>
  <c r="Q320" i="7"/>
  <c r="T320" i="7" s="1"/>
  <c r="Q323" i="7"/>
  <c r="S323" i="7"/>
  <c r="S324" i="7"/>
  <c r="Q324" i="7"/>
  <c r="S325" i="7"/>
  <c r="Q325" i="7"/>
  <c r="T325" i="7" s="1"/>
  <c r="S326" i="7"/>
  <c r="T326" i="7"/>
  <c r="R326" i="7"/>
  <c r="V326" i="7" s="1"/>
  <c r="X326" i="7" s="1"/>
  <c r="U326" i="7"/>
  <c r="W326" i="7" s="1"/>
  <c r="S327" i="7"/>
  <c r="Q327" i="7"/>
  <c r="T327" i="7" s="1"/>
  <c r="S328" i="7"/>
  <c r="Q328" i="7"/>
  <c r="T328" i="7"/>
  <c r="S329" i="7"/>
  <c r="Q329" i="7"/>
  <c r="Q330" i="7"/>
  <c r="S330" i="7"/>
  <c r="T330" i="7"/>
  <c r="S331" i="7"/>
  <c r="Q331" i="7"/>
  <c r="T331" i="7" s="1"/>
  <c r="R333" i="7"/>
  <c r="T333" i="7"/>
  <c r="Q336" i="7"/>
  <c r="S336" i="7"/>
  <c r="T336" i="7"/>
  <c r="Q339" i="7"/>
  <c r="T339" i="7" s="1"/>
  <c r="S339" i="7"/>
  <c r="Q342" i="7"/>
  <c r="S342" i="7"/>
  <c r="S343" i="7"/>
  <c r="T343" i="7"/>
  <c r="Q344" i="7"/>
  <c r="T344" i="7"/>
  <c r="S345" i="7"/>
  <c r="Q345" i="7"/>
  <c r="Q346" i="7"/>
  <c r="T346" i="7"/>
  <c r="S346" i="7"/>
  <c r="Q347" i="7"/>
  <c r="T347" i="7" s="1"/>
  <c r="S347" i="7"/>
  <c r="Q348" i="7"/>
  <c r="T348" i="7" s="1"/>
  <c r="S348" i="7"/>
  <c r="S350" i="7"/>
  <c r="Q350" i="7"/>
  <c r="T350" i="7"/>
  <c r="Q351" i="7"/>
  <c r="T351" i="7"/>
  <c r="Q352" i="7"/>
  <c r="T352" i="7" s="1"/>
  <c r="S352" i="7"/>
  <c r="Q353" i="7"/>
  <c r="T353" i="7" s="1"/>
  <c r="T354" i="7"/>
  <c r="S354" i="7"/>
  <c r="R354" i="7"/>
  <c r="Q355" i="7"/>
  <c r="S355" i="7"/>
  <c r="T355" i="7"/>
  <c r="S356" i="7"/>
  <c r="Q356" i="7"/>
  <c r="T356" i="7" s="1"/>
  <c r="Q357" i="7"/>
  <c r="S357" i="7"/>
  <c r="T357" i="7"/>
  <c r="R358" i="7"/>
  <c r="V358" i="7" s="1"/>
  <c r="X358" i="7" s="1"/>
  <c r="U358" i="7"/>
  <c r="W358" i="7" s="1"/>
  <c r="T358" i="7"/>
  <c r="Q359" i="7"/>
  <c r="S359" i="7"/>
  <c r="T359" i="7"/>
  <c r="S360" i="7"/>
  <c r="Q360" i="7"/>
  <c r="T360" i="7" s="1"/>
  <c r="Q361" i="7"/>
  <c r="T361" i="7" s="1"/>
  <c r="R362" i="7"/>
  <c r="V362" i="7" s="1"/>
  <c r="X362" i="7" s="1"/>
  <c r="T362" i="7"/>
  <c r="U362" i="7"/>
  <c r="W362" i="7" s="1"/>
  <c r="Q366" i="7"/>
  <c r="T366" i="7"/>
  <c r="T367" i="7"/>
  <c r="S367" i="7"/>
  <c r="R367" i="7"/>
  <c r="Q368" i="7"/>
  <c r="R368" i="7" s="1"/>
  <c r="S368" i="7"/>
  <c r="T368" i="7"/>
  <c r="Q370" i="7"/>
  <c r="T370" i="7"/>
  <c r="Q371" i="7"/>
  <c r="T371" i="7"/>
  <c r="R372" i="7"/>
  <c r="V372" i="7" s="1"/>
  <c r="X372" i="7" s="1"/>
  <c r="U372" i="7"/>
  <c r="W372" i="7" s="1"/>
  <c r="Q373" i="7"/>
  <c r="R373" i="7" s="1"/>
  <c r="T373" i="7"/>
  <c r="R374" i="7"/>
  <c r="V374" i="7" s="1"/>
  <c r="X374" i="7" s="1"/>
  <c r="U374" i="7"/>
  <c r="W374" i="7" s="1"/>
  <c r="S396" i="7"/>
  <c r="Q396" i="7"/>
  <c r="T396" i="7" s="1"/>
  <c r="Q397" i="7"/>
  <c r="R397" i="7" s="1"/>
  <c r="T397" i="7"/>
  <c r="S398" i="7"/>
  <c r="Q398" i="7"/>
  <c r="Q399" i="7"/>
  <c r="T399" i="7"/>
  <c r="S399" i="7"/>
  <c r="S400" i="7"/>
  <c r="Q400" i="7"/>
  <c r="T400" i="7" s="1"/>
  <c r="Q401" i="7"/>
  <c r="T401" i="7" s="1"/>
  <c r="S401" i="7"/>
  <c r="Q402" i="7"/>
  <c r="T402" i="7" s="1"/>
  <c r="S403" i="7"/>
  <c r="Q403" i="7"/>
  <c r="T403" i="7" s="1"/>
  <c r="Q404" i="7"/>
  <c r="T404" i="7"/>
  <c r="S404" i="7"/>
  <c r="Q407" i="7"/>
  <c r="S407" i="7"/>
  <c r="Q408" i="7"/>
  <c r="T408" i="7"/>
  <c r="T409" i="7"/>
  <c r="S409" i="7"/>
  <c r="Q410" i="7"/>
  <c r="T410" i="7"/>
  <c r="S411" i="7"/>
  <c r="T411" i="7"/>
  <c r="R412" i="7"/>
  <c r="V412" i="7" s="1"/>
  <c r="X412" i="7" s="1"/>
  <c r="U412" i="7"/>
  <c r="W412" i="7" s="1"/>
  <c r="S415" i="7"/>
  <c r="Q415" i="7"/>
  <c r="T415" i="7" s="1"/>
  <c r="S416" i="7"/>
  <c r="Q416" i="7"/>
  <c r="T416" i="7" s="1"/>
  <c r="S418" i="7"/>
  <c r="Q418" i="7"/>
  <c r="Q419" i="7"/>
  <c r="S419" i="7"/>
  <c r="Q421" i="7"/>
  <c r="S421" i="7"/>
  <c r="Q425" i="7"/>
  <c r="S425" i="7"/>
  <c r="T425" i="7"/>
  <c r="Q427" i="7"/>
  <c r="S427" i="7"/>
  <c r="T427" i="7"/>
  <c r="S428" i="7"/>
  <c r="Q428" i="7"/>
  <c r="Q475" i="7"/>
  <c r="S475" i="7"/>
  <c r="Q481" i="7"/>
  <c r="S481" i="7"/>
  <c r="Q482" i="7"/>
  <c r="S482" i="7"/>
  <c r="Q484" i="7"/>
  <c r="S484" i="7"/>
  <c r="R485" i="7"/>
  <c r="T485" i="7"/>
  <c r="S487" i="7"/>
  <c r="Q487" i="7"/>
  <c r="T492" i="7"/>
  <c r="R492" i="7"/>
  <c r="V81" i="7"/>
  <c r="X81" i="7" s="1"/>
  <c r="U81" i="7"/>
  <c r="W81" i="7" s="1"/>
  <c r="V90" i="7"/>
  <c r="X90" i="7" s="1"/>
  <c r="U90" i="7"/>
  <c r="W90" i="7" s="1"/>
  <c r="V92" i="7"/>
  <c r="X92" i="7" s="1"/>
  <c r="U92" i="7"/>
  <c r="W92" i="7" s="1"/>
  <c r="V480" i="7"/>
  <c r="X480" i="7" s="1"/>
  <c r="U480" i="7"/>
  <c r="W480" i="7" s="1"/>
  <c r="V483" i="7"/>
  <c r="X483" i="7" s="1"/>
  <c r="U483" i="7"/>
  <c r="W483" i="7" s="1"/>
  <c r="V488" i="7"/>
  <c r="X488" i="7" s="1"/>
  <c r="U488" i="7"/>
  <c r="W488" i="7" s="1"/>
  <c r="T192" i="7"/>
  <c r="R192" i="7"/>
  <c r="T198" i="7"/>
  <c r="R198" i="7"/>
  <c r="T203" i="7"/>
  <c r="R203" i="7"/>
  <c r="R204" i="7"/>
  <c r="T230" i="7"/>
  <c r="R230" i="7"/>
  <c r="R231" i="7"/>
  <c r="T237" i="7"/>
  <c r="R237" i="7"/>
  <c r="T242" i="7"/>
  <c r="R242" i="7"/>
  <c r="T244" i="7"/>
  <c r="R244" i="7"/>
  <c r="T246" i="7"/>
  <c r="R246" i="7"/>
  <c r="T248" i="7"/>
  <c r="R248" i="7"/>
  <c r="T250" i="7"/>
  <c r="R250" i="7"/>
  <c r="T254" i="7"/>
  <c r="R254" i="7"/>
  <c r="R256" i="7"/>
  <c r="T256" i="7"/>
  <c r="R258" i="7"/>
  <c r="T258" i="7"/>
  <c r="R260" i="7"/>
  <c r="T260" i="7"/>
  <c r="T262" i="7"/>
  <c r="R262" i="7"/>
  <c r="R273" i="7"/>
  <c r="T273" i="7"/>
  <c r="R277" i="7"/>
  <c r="T277" i="7"/>
  <c r="T282" i="7"/>
  <c r="R282" i="7"/>
  <c r="T289" i="7"/>
  <c r="R289" i="7"/>
  <c r="T293" i="7"/>
  <c r="R293" i="7"/>
  <c r="T300" i="7"/>
  <c r="R300" i="7"/>
  <c r="T302" i="7"/>
  <c r="R302" i="7"/>
  <c r="R305" i="7"/>
  <c r="T305" i="7"/>
  <c r="R306" i="7"/>
  <c r="T306" i="7"/>
  <c r="T310" i="7"/>
  <c r="R310" i="7"/>
  <c r="R315" i="7"/>
  <c r="T315" i="7"/>
  <c r="T316" i="7"/>
  <c r="R316" i="7"/>
  <c r="T319" i="7"/>
  <c r="R319" i="7"/>
  <c r="T332" i="7"/>
  <c r="R332" i="7"/>
  <c r="R422" i="7"/>
  <c r="R423" i="7"/>
  <c r="R430" i="7"/>
  <c r="R431" i="7"/>
  <c r="R432" i="7"/>
  <c r="R433" i="7"/>
  <c r="R434" i="7"/>
  <c r="R435" i="7"/>
  <c r="R436" i="7"/>
  <c r="R437" i="7"/>
  <c r="T437" i="7"/>
  <c r="T439" i="7"/>
  <c r="R439" i="7"/>
  <c r="R440" i="7"/>
  <c r="R441" i="7"/>
  <c r="V441" i="7" s="1"/>
  <c r="X441" i="7" s="1"/>
  <c r="U441" i="7"/>
  <c r="W441" i="7" s="1"/>
  <c r="T441" i="7"/>
  <c r="R442" i="7"/>
  <c r="R443" i="7"/>
  <c r="V443" i="7" s="1"/>
  <c r="X443" i="7" s="1"/>
  <c r="U443" i="7"/>
  <c r="W443" i="7" s="1"/>
  <c r="R444" i="7"/>
  <c r="V444" i="7" s="1"/>
  <c r="X444" i="7" s="1"/>
  <c r="T444" i="7"/>
  <c r="U444" i="7"/>
  <c r="W444" i="7" s="1"/>
  <c r="R445" i="7"/>
  <c r="R446" i="7"/>
  <c r="V446" i="7" s="1"/>
  <c r="X446" i="7" s="1"/>
  <c r="U446" i="7"/>
  <c r="W446" i="7" s="1"/>
  <c r="R447" i="7"/>
  <c r="R448" i="7"/>
  <c r="R449" i="7"/>
  <c r="V449" i="7" s="1"/>
  <c r="X449" i="7" s="1"/>
  <c r="U449" i="7"/>
  <c r="W449" i="7" s="1"/>
  <c r="R450" i="7"/>
  <c r="R451" i="7"/>
  <c r="V451" i="7" s="1"/>
  <c r="X451" i="7" s="1"/>
  <c r="U451" i="7"/>
  <c r="W451" i="7" s="1"/>
  <c r="R452" i="7"/>
  <c r="R453" i="7"/>
  <c r="V453" i="7" s="1"/>
  <c r="X453" i="7" s="1"/>
  <c r="U453" i="7"/>
  <c r="W453" i="7" s="1"/>
  <c r="R454" i="7"/>
  <c r="V454" i="7" s="1"/>
  <c r="X454" i="7" s="1"/>
  <c r="U454" i="7"/>
  <c r="W454" i="7" s="1"/>
  <c r="R455" i="7"/>
  <c r="V455" i="7" s="1"/>
  <c r="X455" i="7" s="1"/>
  <c r="U455" i="7"/>
  <c r="W455" i="7" s="1"/>
  <c r="R456" i="7"/>
  <c r="V456" i="7" s="1"/>
  <c r="X456" i="7" s="1"/>
  <c r="U456" i="7"/>
  <c r="W456" i="7" s="1"/>
  <c r="R457" i="7"/>
  <c r="V457" i="7" s="1"/>
  <c r="X457" i="7" s="1"/>
  <c r="U457" i="7"/>
  <c r="W457" i="7" s="1"/>
  <c r="R458" i="7"/>
  <c r="R459" i="7"/>
  <c r="V459" i="7" s="1"/>
  <c r="X459" i="7" s="1"/>
  <c r="U459" i="7"/>
  <c r="W459" i="7" s="1"/>
  <c r="R460" i="7"/>
  <c r="R461" i="7"/>
  <c r="R463" i="7"/>
  <c r="R464" i="7"/>
  <c r="R465" i="7"/>
  <c r="R466" i="7"/>
  <c r="R467" i="7"/>
  <c r="R468" i="7"/>
  <c r="R469" i="7"/>
  <c r="V53" i="7"/>
  <c r="X53" i="7" s="1"/>
  <c r="U53" i="7"/>
  <c r="W53" i="7" s="1"/>
  <c r="V55" i="7"/>
  <c r="X55" i="7" s="1"/>
  <c r="U55" i="7"/>
  <c r="W55" i="7" s="1"/>
  <c r="V57" i="7"/>
  <c r="X57" i="7" s="1"/>
  <c r="U57" i="7"/>
  <c r="W57" i="7" s="1"/>
  <c r="V73" i="7"/>
  <c r="X73" i="7" s="1"/>
  <c r="U73" i="7"/>
  <c r="W73" i="7" s="1"/>
  <c r="V76" i="7"/>
  <c r="X76" i="7" s="1"/>
  <c r="U76" i="7"/>
  <c r="W76" i="7" s="1"/>
  <c r="V80" i="7"/>
  <c r="X80" i="7" s="1"/>
  <c r="U80" i="7"/>
  <c r="W80" i="7" s="1"/>
  <c r="V84" i="7"/>
  <c r="X84" i="7" s="1"/>
  <c r="U84" i="7"/>
  <c r="W84" i="7" s="1"/>
  <c r="V98" i="7"/>
  <c r="X98" i="7" s="1"/>
  <c r="U98" i="7"/>
  <c r="W98" i="7" s="1"/>
  <c r="V106" i="7"/>
  <c r="X106" i="7" s="1"/>
  <c r="U106" i="7"/>
  <c r="W106" i="7" s="1"/>
  <c r="V110" i="7"/>
  <c r="X110" i="7" s="1"/>
  <c r="U110" i="7"/>
  <c r="W110" i="7" s="1"/>
  <c r="V169" i="7"/>
  <c r="X169" i="7" s="1"/>
  <c r="U169" i="7"/>
  <c r="W169" i="7" s="1"/>
  <c r="V171" i="7"/>
  <c r="X171" i="7" s="1"/>
  <c r="U171" i="7"/>
  <c r="W171" i="7" s="1"/>
  <c r="V173" i="7"/>
  <c r="X173" i="7" s="1"/>
  <c r="U173" i="7"/>
  <c r="W173" i="7" s="1"/>
  <c r="V174" i="7"/>
  <c r="X174" i="7" s="1"/>
  <c r="U174" i="7"/>
  <c r="W174" i="7" s="1"/>
  <c r="V177" i="7"/>
  <c r="X177" i="7" s="1"/>
  <c r="U177" i="7"/>
  <c r="W177" i="7" s="1"/>
  <c r="V178" i="7"/>
  <c r="X178" i="7" s="1"/>
  <c r="U178" i="7"/>
  <c r="W178" i="7" s="1"/>
  <c r="V180" i="7"/>
  <c r="X180" i="7" s="1"/>
  <c r="U180" i="7"/>
  <c r="W180" i="7" s="1"/>
  <c r="V190" i="7"/>
  <c r="X190" i="7" s="1"/>
  <c r="U190" i="7"/>
  <c r="W190" i="7" s="1"/>
  <c r="V193" i="7"/>
  <c r="X193" i="7" s="1"/>
  <c r="U193" i="7"/>
  <c r="W193" i="7" s="1"/>
  <c r="V197" i="7"/>
  <c r="X197" i="7" s="1"/>
  <c r="U197" i="7"/>
  <c r="W197" i="7" s="1"/>
  <c r="V253" i="7"/>
  <c r="X253" i="7" s="1"/>
  <c r="U253" i="7"/>
  <c r="W253" i="7" s="1"/>
  <c r="V261" i="7"/>
  <c r="X261" i="7" s="1"/>
  <c r="U261" i="7"/>
  <c r="W261" i="7" s="1"/>
  <c r="V264" i="7"/>
  <c r="X264" i="7" s="1"/>
  <c r="U264" i="7"/>
  <c r="W264" i="7" s="1"/>
  <c r="V267" i="7"/>
  <c r="X267" i="7" s="1"/>
  <c r="U267" i="7"/>
  <c r="W267" i="7" s="1"/>
  <c r="V269" i="7"/>
  <c r="X269" i="7" s="1"/>
  <c r="U269" i="7"/>
  <c r="W269" i="7" s="1"/>
  <c r="V278" i="7"/>
  <c r="X278" i="7" s="1"/>
  <c r="U278" i="7"/>
  <c r="W278" i="7" s="1"/>
  <c r="V279" i="7"/>
  <c r="X279" i="7" s="1"/>
  <c r="U279" i="7"/>
  <c r="W279" i="7" s="1"/>
  <c r="V280" i="7"/>
  <c r="X280" i="7" s="1"/>
  <c r="U280" i="7"/>
  <c r="W280" i="7" s="1"/>
  <c r="V281" i="7"/>
  <c r="X281" i="7" s="1"/>
  <c r="U281" i="7"/>
  <c r="W281" i="7" s="1"/>
  <c r="V286" i="7"/>
  <c r="X286" i="7" s="1"/>
  <c r="U286" i="7"/>
  <c r="W286" i="7" s="1"/>
  <c r="V288" i="7"/>
  <c r="X288" i="7" s="1"/>
  <c r="U288" i="7"/>
  <c r="W288" i="7" s="1"/>
  <c r="V311" i="7"/>
  <c r="X311" i="7" s="1"/>
  <c r="U311" i="7"/>
  <c r="W311" i="7" s="1"/>
  <c r="V341" i="7"/>
  <c r="X341" i="7" s="1"/>
  <c r="U341" i="7"/>
  <c r="W341" i="7" s="1"/>
  <c r="V343" i="7"/>
  <c r="X343" i="7" s="1"/>
  <c r="U343" i="7"/>
  <c r="W343" i="7" s="1"/>
  <c r="V349" i="7"/>
  <c r="X349" i="7" s="1"/>
  <c r="U349" i="7"/>
  <c r="W349" i="7" s="1"/>
  <c r="V363" i="7"/>
  <c r="X363" i="7" s="1"/>
  <c r="U363" i="7"/>
  <c r="W363" i="7" s="1"/>
  <c r="V365" i="7"/>
  <c r="X365" i="7" s="1"/>
  <c r="U365" i="7"/>
  <c r="W365" i="7" s="1"/>
  <c r="V369" i="7"/>
  <c r="X369" i="7" s="1"/>
  <c r="U369" i="7"/>
  <c r="W369" i="7" s="1"/>
  <c r="V375" i="7"/>
  <c r="X375" i="7" s="1"/>
  <c r="U375" i="7"/>
  <c r="W375" i="7" s="1"/>
  <c r="V377" i="7"/>
  <c r="X377" i="7" s="1"/>
  <c r="U377" i="7"/>
  <c r="W377" i="7" s="1"/>
  <c r="V378" i="7"/>
  <c r="X378" i="7" s="1"/>
  <c r="U378" i="7"/>
  <c r="W378" i="7" s="1"/>
  <c r="V389" i="7"/>
  <c r="X389" i="7" s="1"/>
  <c r="U389" i="7"/>
  <c r="W389" i="7" s="1"/>
  <c r="V394" i="7"/>
  <c r="X394" i="7" s="1"/>
  <c r="U394" i="7"/>
  <c r="W394" i="7" s="1"/>
  <c r="V397" i="7"/>
  <c r="X397" i="7" s="1"/>
  <c r="U397" i="7"/>
  <c r="W397" i="7" s="1"/>
  <c r="V406" i="7"/>
  <c r="X406" i="7" s="1"/>
  <c r="U406" i="7"/>
  <c r="W406" i="7" s="1"/>
  <c r="V409" i="7"/>
  <c r="X409" i="7" s="1"/>
  <c r="U409" i="7"/>
  <c r="W409" i="7" s="1"/>
  <c r="V411" i="7"/>
  <c r="X411" i="7" s="1"/>
  <c r="U411" i="7"/>
  <c r="W411" i="7" s="1"/>
  <c r="V417" i="7"/>
  <c r="X417" i="7" s="1"/>
  <c r="U417" i="7"/>
  <c r="W417" i="7" s="1"/>
  <c r="V489" i="7"/>
  <c r="X489" i="7" s="1"/>
  <c r="U489" i="7"/>
  <c r="W489" i="7" s="1"/>
  <c r="S2" i="7"/>
  <c r="T2" i="7"/>
  <c r="U2" i="7"/>
  <c r="W2" i="7" s="1"/>
  <c r="V2" i="7"/>
  <c r="X2" i="7" s="1"/>
  <c r="Q478" i="7"/>
  <c r="T478" i="7" s="1"/>
  <c r="S478" i="7"/>
  <c r="U189" i="7" l="1"/>
  <c r="W189" i="7" s="1"/>
  <c r="V189" i="7"/>
  <c r="X189" i="7" s="1"/>
  <c r="V205" i="7"/>
  <c r="X205" i="7" s="1"/>
  <c r="U205" i="7"/>
  <c r="W205" i="7" s="1"/>
  <c r="V54" i="7"/>
  <c r="X54" i="7" s="1"/>
  <c r="U54" i="7"/>
  <c r="W54" i="7" s="1"/>
  <c r="T220" i="7"/>
  <c r="R220" i="7"/>
  <c r="T245" i="7"/>
  <c r="R245" i="7"/>
  <c r="V114" i="7"/>
  <c r="X114" i="7" s="1"/>
  <c r="U114" i="7"/>
  <c r="W114" i="7" s="1"/>
  <c r="R58" i="7"/>
  <c r="T58" i="7"/>
  <c r="R60" i="7"/>
  <c r="T60" i="7"/>
  <c r="R63" i="7"/>
  <c r="T63" i="7"/>
  <c r="R65" i="7"/>
  <c r="T65" i="7"/>
  <c r="R68" i="7"/>
  <c r="T68" i="7"/>
  <c r="R70" i="7"/>
  <c r="T70" i="7"/>
  <c r="R71" i="7"/>
  <c r="T71" i="7"/>
  <c r="R72" i="7"/>
  <c r="T72" i="7"/>
  <c r="T124" i="7"/>
  <c r="R124" i="7"/>
  <c r="T143" i="7"/>
  <c r="R143" i="7"/>
  <c r="R215" i="7"/>
  <c r="V215" i="7" s="1"/>
  <c r="X215" i="7" s="1"/>
  <c r="U215" i="7"/>
  <c r="W215" i="7" s="1"/>
  <c r="U380" i="7"/>
  <c r="W380" i="7" s="1"/>
  <c r="V380" i="7"/>
  <c r="X380" i="7" s="1"/>
  <c r="V383" i="7"/>
  <c r="X383" i="7" s="1"/>
  <c r="U383" i="7"/>
  <c r="W383" i="7" s="1"/>
  <c r="V385" i="7"/>
  <c r="X385" i="7" s="1"/>
  <c r="U385" i="7"/>
  <c r="W385" i="7" s="1"/>
  <c r="V59" i="7"/>
  <c r="X59" i="7" s="1"/>
  <c r="U59" i="7"/>
  <c r="W59" i="7" s="1"/>
  <c r="V61" i="7"/>
  <c r="X61" i="7" s="1"/>
  <c r="U61" i="7"/>
  <c r="W61" i="7" s="1"/>
  <c r="R64" i="7"/>
  <c r="V64" i="7" s="1"/>
  <c r="X64" i="7" s="1"/>
  <c r="U64" i="7"/>
  <c r="W64" i="7" s="1"/>
  <c r="T64" i="7"/>
  <c r="R67" i="7"/>
  <c r="V67" i="7" s="1"/>
  <c r="X67" i="7" s="1"/>
  <c r="U67" i="7"/>
  <c r="W67" i="7" s="1"/>
  <c r="T67" i="7"/>
  <c r="R69" i="7"/>
  <c r="V69" i="7" s="1"/>
  <c r="X69" i="7" s="1"/>
  <c r="U69" i="7"/>
  <c r="W69" i="7" s="1"/>
  <c r="T69" i="7"/>
  <c r="V99" i="7"/>
  <c r="X99" i="7" s="1"/>
  <c r="U99" i="7"/>
  <c r="W99" i="7" s="1"/>
  <c r="V101" i="7"/>
  <c r="X101" i="7" s="1"/>
  <c r="U101" i="7"/>
  <c r="W101" i="7" s="1"/>
  <c r="V102" i="7"/>
  <c r="X102" i="7" s="1"/>
  <c r="U102" i="7"/>
  <c r="W102" i="7" s="1"/>
  <c r="V104" i="7"/>
  <c r="X104" i="7" s="1"/>
  <c r="U104" i="7"/>
  <c r="W104" i="7" s="1"/>
  <c r="T125" i="7"/>
  <c r="R125" i="7"/>
  <c r="T127" i="7"/>
  <c r="R127" i="7"/>
  <c r="R128" i="7"/>
  <c r="T128" i="7"/>
  <c r="R129" i="7"/>
  <c r="V129" i="7" s="1"/>
  <c r="X129" i="7" s="1"/>
  <c r="T129" i="7"/>
  <c r="U129" i="7"/>
  <c r="W129" i="7" s="1"/>
  <c r="R130" i="7"/>
  <c r="T130" i="7"/>
  <c r="R131" i="7"/>
  <c r="T131" i="7"/>
  <c r="R132" i="7"/>
  <c r="T132" i="7"/>
  <c r="T134" i="7"/>
  <c r="R134" i="7"/>
  <c r="T136" i="7"/>
  <c r="R136" i="7"/>
  <c r="R138" i="7"/>
  <c r="T138" i="7"/>
  <c r="T139" i="7"/>
  <c r="R139" i="7"/>
  <c r="T141" i="7"/>
  <c r="R141" i="7"/>
  <c r="T142" i="7"/>
  <c r="R142" i="7"/>
  <c r="R144" i="7"/>
  <c r="T144" i="7"/>
  <c r="R145" i="7"/>
  <c r="T145" i="7"/>
  <c r="R146" i="7"/>
  <c r="T146" i="7"/>
  <c r="R147" i="7"/>
  <c r="T147" i="7"/>
  <c r="T148" i="7"/>
  <c r="R148" i="7"/>
  <c r="T149" i="7"/>
  <c r="R149" i="7"/>
  <c r="R150" i="7"/>
  <c r="T150" i="7"/>
  <c r="R151" i="7"/>
  <c r="T151" i="7"/>
  <c r="T152" i="7"/>
  <c r="R152" i="7"/>
  <c r="T154" i="7"/>
  <c r="R154" i="7"/>
  <c r="T158" i="7"/>
  <c r="R158" i="7"/>
  <c r="T159" i="7"/>
  <c r="R159" i="7"/>
  <c r="T160" i="7"/>
  <c r="R160" i="7"/>
  <c r="R161" i="7"/>
  <c r="V161" i="7" s="1"/>
  <c r="X161" i="7" s="1"/>
  <c r="U161" i="7"/>
  <c r="W161" i="7" s="1"/>
  <c r="T161" i="7"/>
  <c r="R162" i="7"/>
  <c r="T162" i="7"/>
  <c r="T163" i="7"/>
  <c r="R163" i="7"/>
  <c r="T164" i="7"/>
  <c r="R164" i="7"/>
  <c r="T165" i="7"/>
  <c r="R165" i="7"/>
  <c r="T166" i="7"/>
  <c r="R166" i="7"/>
  <c r="T167" i="7"/>
  <c r="R167" i="7"/>
  <c r="T168" i="7"/>
  <c r="R168" i="7"/>
  <c r="T182" i="7"/>
  <c r="R182" i="7"/>
  <c r="V182" i="7" s="1"/>
  <c r="X182" i="7" s="1"/>
  <c r="R183" i="7"/>
  <c r="T183" i="7"/>
  <c r="R213" i="7"/>
  <c r="V213" i="7" s="1"/>
  <c r="X213" i="7" s="1"/>
  <c r="U213" i="7"/>
  <c r="W213" i="7" s="1"/>
  <c r="T213" i="7"/>
  <c r="V386" i="7"/>
  <c r="X386" i="7" s="1"/>
  <c r="U386" i="7"/>
  <c r="W386" i="7" s="1"/>
  <c r="V85" i="7"/>
  <c r="X85" i="7" s="1"/>
  <c r="U85" i="7"/>
  <c r="W85" i="7" s="1"/>
  <c r="R184" i="7"/>
  <c r="T184" i="7"/>
  <c r="T185" i="7"/>
  <c r="R185" i="7"/>
  <c r="V185" i="7" s="1"/>
  <c r="X185" i="7" s="1"/>
  <c r="T186" i="7"/>
  <c r="R186" i="7"/>
  <c r="V186" i="7" s="1"/>
  <c r="X186" i="7" s="1"/>
  <c r="T187" i="7"/>
  <c r="R187" i="7"/>
  <c r="T212" i="7"/>
  <c r="R212" i="7"/>
  <c r="V354" i="7"/>
  <c r="X354" i="7" s="1"/>
  <c r="U354" i="7"/>
  <c r="W354" i="7" s="1"/>
  <c r="T86" i="7"/>
  <c r="R86" i="7"/>
  <c r="R87" i="7"/>
  <c r="V87" i="7" s="1"/>
  <c r="X87" i="7" s="1"/>
  <c r="U87" i="7"/>
  <c r="W87" i="7" s="1"/>
  <c r="T87" i="7"/>
  <c r="R88" i="7"/>
  <c r="V88" i="7" s="1"/>
  <c r="X88" i="7" s="1"/>
  <c r="U88" i="7"/>
  <c r="W88" i="7" s="1"/>
  <c r="T88" i="7"/>
  <c r="R94" i="7"/>
  <c r="T94" i="7"/>
  <c r="R95" i="7"/>
  <c r="V95" i="7" s="1"/>
  <c r="X95" i="7" s="1"/>
  <c r="U95" i="7"/>
  <c r="W95" i="7" s="1"/>
  <c r="T95" i="7"/>
  <c r="R96" i="7"/>
  <c r="V96" i="7" s="1"/>
  <c r="X96" i="7" s="1"/>
  <c r="U96" i="7"/>
  <c r="W96" i="7" s="1"/>
  <c r="T96" i="7"/>
  <c r="R97" i="7"/>
  <c r="T97" i="7"/>
  <c r="R335" i="7"/>
  <c r="R490" i="7"/>
  <c r="U185" i="7"/>
  <c r="W185" i="7" s="1"/>
  <c r="U186" i="7"/>
  <c r="W186" i="7" s="1"/>
  <c r="U388" i="7"/>
  <c r="W388" i="7" s="1"/>
  <c r="V388" i="7"/>
  <c r="X388" i="7" s="1"/>
  <c r="U391" i="7"/>
  <c r="W391" i="7" s="1"/>
  <c r="V391" i="7"/>
  <c r="X391" i="7" s="1"/>
  <c r="U395" i="7"/>
  <c r="W395" i="7" s="1"/>
  <c r="V395" i="7"/>
  <c r="X395" i="7" s="1"/>
  <c r="U107" i="7"/>
  <c r="W107" i="7" s="1"/>
  <c r="V107" i="7"/>
  <c r="X107" i="7" s="1"/>
  <c r="T155" i="7"/>
  <c r="R155" i="7"/>
  <c r="R156" i="7"/>
  <c r="T156" i="7"/>
  <c r="T157" i="7"/>
  <c r="R157" i="7"/>
  <c r="R334" i="7"/>
  <c r="V334" i="7" s="1"/>
  <c r="X334" i="7" s="1"/>
  <c r="U334" i="7"/>
  <c r="W334" i="7" s="1"/>
  <c r="R338" i="7"/>
  <c r="T338" i="7"/>
  <c r="R340" i="7"/>
  <c r="T340" i="7"/>
  <c r="V486" i="7"/>
  <c r="X486" i="7" s="1"/>
  <c r="U486" i="7"/>
  <c r="W486" i="7" s="1"/>
  <c r="R491" i="7"/>
  <c r="V491" i="7" s="1"/>
  <c r="X491" i="7" s="1"/>
  <c r="T491" i="7"/>
  <c r="U491" i="7"/>
  <c r="W491" i="7" s="1"/>
  <c r="T493" i="7"/>
  <c r="R493" i="7"/>
  <c r="T494" i="7"/>
  <c r="R494" i="7"/>
  <c r="T495" i="7"/>
  <c r="R495" i="7"/>
  <c r="T496" i="7"/>
  <c r="R496" i="7"/>
  <c r="T497" i="7"/>
  <c r="R497" i="7"/>
  <c r="V276" i="7"/>
  <c r="X276" i="7" s="1"/>
  <c r="U276" i="7"/>
  <c r="W276" i="7" s="1"/>
  <c r="U470" i="7"/>
  <c r="W470" i="7" s="1"/>
  <c r="V470" i="7"/>
  <c r="X470" i="7" s="1"/>
  <c r="V196" i="7"/>
  <c r="X196" i="7" s="1"/>
  <c r="U196" i="7"/>
  <c r="W196" i="7" s="1"/>
  <c r="V265" i="7"/>
  <c r="X265" i="7" s="1"/>
  <c r="U265" i="7"/>
  <c r="W265" i="7" s="1"/>
  <c r="U270" i="7"/>
  <c r="W270" i="7" s="1"/>
  <c r="V270" i="7"/>
  <c r="X270" i="7" s="1"/>
  <c r="U272" i="7"/>
  <c r="W272" i="7" s="1"/>
  <c r="V272" i="7"/>
  <c r="X272" i="7" s="1"/>
  <c r="U384" i="7"/>
  <c r="W384" i="7" s="1"/>
  <c r="V384" i="7"/>
  <c r="X384" i="7" s="1"/>
  <c r="V387" i="7"/>
  <c r="X387" i="7" s="1"/>
  <c r="U387" i="7"/>
  <c r="W387" i="7" s="1"/>
  <c r="T426" i="7"/>
  <c r="R426" i="7"/>
  <c r="R429" i="7"/>
  <c r="T429" i="7"/>
  <c r="R438" i="7"/>
  <c r="T438" i="7"/>
  <c r="R476" i="7"/>
  <c r="T476" i="7"/>
  <c r="R479" i="7"/>
  <c r="T479" i="7"/>
  <c r="R229" i="7"/>
  <c r="T229" i="7"/>
  <c r="R236" i="7"/>
  <c r="T236" i="7"/>
  <c r="V305" i="7"/>
  <c r="X305" i="7" s="1"/>
  <c r="U305" i="7"/>
  <c r="W305" i="7" s="1"/>
  <c r="V306" i="7"/>
  <c r="X306" i="7" s="1"/>
  <c r="U306" i="7"/>
  <c r="W306" i="7" s="1"/>
  <c r="V315" i="7"/>
  <c r="X315" i="7" s="1"/>
  <c r="U315" i="7"/>
  <c r="W315" i="7" s="1"/>
  <c r="V422" i="7"/>
  <c r="X422" i="7" s="1"/>
  <c r="U422" i="7"/>
  <c r="W422" i="7" s="1"/>
  <c r="V430" i="7"/>
  <c r="X430" i="7" s="1"/>
  <c r="U430" i="7"/>
  <c r="W430" i="7" s="1"/>
  <c r="V435" i="7"/>
  <c r="X435" i="7" s="1"/>
  <c r="U435" i="7"/>
  <c r="W435" i="7" s="1"/>
  <c r="R208" i="7"/>
  <c r="R211" i="7"/>
  <c r="R217" i="7"/>
  <c r="R225" i="7"/>
  <c r="R233" i="7"/>
  <c r="R240" i="7"/>
  <c r="R241" i="7"/>
  <c r="R243" i="7"/>
  <c r="T284" i="7"/>
  <c r="R284" i="7"/>
  <c r="T297" i="7"/>
  <c r="R297" i="7"/>
  <c r="T299" i="7"/>
  <c r="R299" i="7"/>
  <c r="R309" i="7"/>
  <c r="R312" i="7"/>
  <c r="R472" i="7"/>
  <c r="V195" i="7"/>
  <c r="X195" i="7" s="1"/>
  <c r="U195" i="7"/>
  <c r="W195" i="7" s="1"/>
  <c r="V199" i="7"/>
  <c r="X199" i="7" s="1"/>
  <c r="U199" i="7"/>
  <c r="W199" i="7" s="1"/>
  <c r="V201" i="7"/>
  <c r="X201" i="7" s="1"/>
  <c r="U201" i="7"/>
  <c r="W201" i="7" s="1"/>
  <c r="V268" i="7"/>
  <c r="X268" i="7" s="1"/>
  <c r="U268" i="7"/>
  <c r="W268" i="7" s="1"/>
  <c r="V379" i="7"/>
  <c r="X379" i="7" s="1"/>
  <c r="U379" i="7"/>
  <c r="W379" i="7" s="1"/>
  <c r="V191" i="7"/>
  <c r="X191" i="7" s="1"/>
  <c r="U191" i="7"/>
  <c r="W191" i="7" s="1"/>
  <c r="U194" i="7"/>
  <c r="W194" i="7" s="1"/>
  <c r="V194" i="7"/>
  <c r="X194" i="7" s="1"/>
  <c r="U393" i="7"/>
  <c r="W393" i="7" s="1"/>
  <c r="V393" i="7"/>
  <c r="X393" i="7" s="1"/>
  <c r="T5" i="7"/>
  <c r="R5" i="7"/>
  <c r="T8" i="7"/>
  <c r="R8" i="7"/>
  <c r="T14" i="7"/>
  <c r="R14" i="7"/>
  <c r="V14" i="7" s="1"/>
  <c r="X14" i="7" s="1"/>
  <c r="U14" i="7"/>
  <c r="W14" i="7" s="1"/>
  <c r="T109" i="7"/>
  <c r="R109" i="7"/>
  <c r="V239" i="7"/>
  <c r="X239" i="7" s="1"/>
  <c r="U239" i="7"/>
  <c r="W239" i="7" s="1"/>
  <c r="T247" i="7"/>
  <c r="R247" i="7"/>
  <c r="V251" i="7"/>
  <c r="X251" i="7" s="1"/>
  <c r="U251" i="7"/>
  <c r="W251" i="7" s="1"/>
  <c r="R252" i="7"/>
  <c r="V252" i="7" s="1"/>
  <c r="X252" i="7" s="1"/>
  <c r="U252" i="7"/>
  <c r="W252" i="7" s="1"/>
  <c r="T252" i="7"/>
  <c r="R298" i="7"/>
  <c r="R301" i="7"/>
  <c r="V301" i="7" s="1"/>
  <c r="X301" i="7" s="1"/>
  <c r="T301" i="7"/>
  <c r="U301" i="7"/>
  <c r="W301" i="7" s="1"/>
  <c r="T303" i="7"/>
  <c r="R303" i="7"/>
  <c r="T317" i="7"/>
  <c r="R317" i="7"/>
  <c r="V317" i="7" s="1"/>
  <c r="X317" i="7" s="1"/>
  <c r="U317" i="7"/>
  <c r="W317" i="7" s="1"/>
  <c r="T321" i="7"/>
  <c r="R321" i="7"/>
  <c r="T322" i="7"/>
  <c r="R322" i="7"/>
  <c r="V322" i="7" s="1"/>
  <c r="X322" i="7" s="1"/>
  <c r="U322" i="7"/>
  <c r="W322" i="7" s="1"/>
  <c r="T414" i="7"/>
  <c r="R414" i="7"/>
  <c r="V414" i="7" s="1"/>
  <c r="X414" i="7" s="1"/>
  <c r="U414" i="7"/>
  <c r="W414" i="7" s="1"/>
  <c r="V424" i="7"/>
  <c r="X424" i="7" s="1"/>
  <c r="U424" i="7"/>
  <c r="W424" i="7" s="1"/>
  <c r="R462" i="7"/>
  <c r="T462" i="7"/>
  <c r="R473" i="7"/>
  <c r="T473" i="7"/>
  <c r="R474" i="7"/>
  <c r="V474" i="7" s="1"/>
  <c r="X474" i="7" s="1"/>
  <c r="T474" i="7"/>
  <c r="U474" i="7"/>
  <c r="W474" i="7" s="1"/>
  <c r="R477" i="7"/>
  <c r="T477" i="7"/>
  <c r="R6" i="7"/>
  <c r="T6" i="7"/>
  <c r="T9" i="7"/>
  <c r="R9" i="7"/>
  <c r="R15" i="7"/>
  <c r="T15" i="7"/>
  <c r="T31" i="7"/>
  <c r="R31" i="7"/>
  <c r="R35" i="7"/>
  <c r="T35" i="7"/>
  <c r="T44" i="7"/>
  <c r="R44" i="7"/>
  <c r="V3" i="7"/>
  <c r="X3" i="7" s="1"/>
  <c r="U3" i="7"/>
  <c r="W3" i="7" s="1"/>
  <c r="V111" i="7"/>
  <c r="X111" i="7" s="1"/>
  <c r="U111" i="7"/>
  <c r="W111" i="7" s="1"/>
  <c r="V112" i="7"/>
  <c r="X112" i="7" s="1"/>
  <c r="U112" i="7"/>
  <c r="W112" i="7" s="1"/>
  <c r="U113" i="7"/>
  <c r="W113" i="7" s="1"/>
  <c r="V113" i="7"/>
  <c r="X113" i="7" s="1"/>
  <c r="V115" i="7"/>
  <c r="X115" i="7" s="1"/>
  <c r="U115" i="7"/>
  <c r="W115" i="7" s="1"/>
  <c r="U119" i="7"/>
  <c r="W119" i="7" s="1"/>
  <c r="V119" i="7"/>
  <c r="X119" i="7" s="1"/>
  <c r="V120" i="7"/>
  <c r="X120" i="7" s="1"/>
  <c r="U120" i="7"/>
  <c r="W120" i="7" s="1"/>
  <c r="U121" i="7"/>
  <c r="W121" i="7" s="1"/>
  <c r="V121" i="7"/>
  <c r="X121" i="7" s="1"/>
  <c r="U123" i="7"/>
  <c r="W123" i="7" s="1"/>
  <c r="V123" i="7"/>
  <c r="X123" i="7" s="1"/>
  <c r="V137" i="7"/>
  <c r="X137" i="7" s="1"/>
  <c r="U137" i="7"/>
  <c r="W137" i="7" s="1"/>
  <c r="U166" i="7"/>
  <c r="W166" i="7" s="1"/>
  <c r="V166" i="7"/>
  <c r="X166" i="7" s="1"/>
  <c r="U167" i="7"/>
  <c r="W167" i="7" s="1"/>
  <c r="V167" i="7"/>
  <c r="X167" i="7" s="1"/>
  <c r="U168" i="7"/>
  <c r="W168" i="7" s="1"/>
  <c r="V168" i="7"/>
  <c r="X168" i="7" s="1"/>
  <c r="U182" i="7"/>
  <c r="W182" i="7" s="1"/>
  <c r="R206" i="7"/>
  <c r="T206" i="7"/>
  <c r="V207" i="7"/>
  <c r="X207" i="7" s="1"/>
  <c r="U207" i="7"/>
  <c r="W207" i="7" s="1"/>
  <c r="R209" i="7"/>
  <c r="T209" i="7"/>
  <c r="V216" i="7"/>
  <c r="X216" i="7" s="1"/>
  <c r="U216" i="7"/>
  <c r="W216" i="7" s="1"/>
  <c r="R353" i="7"/>
  <c r="V353" i="7" s="1"/>
  <c r="X353" i="7" s="1"/>
  <c r="U353" i="7"/>
  <c r="W353" i="7" s="1"/>
  <c r="V367" i="7"/>
  <c r="X367" i="7" s="1"/>
  <c r="U367" i="7"/>
  <c r="W367" i="7" s="1"/>
  <c r="R419" i="7"/>
  <c r="V419" i="7" s="1"/>
  <c r="X419" i="7" s="1"/>
  <c r="U419" i="7"/>
  <c r="W419" i="7" s="1"/>
  <c r="T419" i="7"/>
  <c r="T4" i="7"/>
  <c r="R4" i="7"/>
  <c r="R10" i="7"/>
  <c r="R11" i="7"/>
  <c r="T11" i="7"/>
  <c r="R12" i="7"/>
  <c r="R13" i="7"/>
  <c r="T13" i="7"/>
  <c r="R16" i="7"/>
  <c r="T16" i="7"/>
  <c r="R17" i="7"/>
  <c r="R18" i="7"/>
  <c r="T18" i="7"/>
  <c r="R19" i="7"/>
  <c r="R20" i="7"/>
  <c r="R21" i="7"/>
  <c r="T21" i="7"/>
  <c r="R22" i="7"/>
  <c r="R23" i="7"/>
  <c r="T23" i="7"/>
  <c r="R25" i="7"/>
  <c r="T25" i="7"/>
  <c r="R26" i="7"/>
  <c r="R27" i="7"/>
  <c r="T27" i="7"/>
  <c r="R28" i="7"/>
  <c r="T29" i="7"/>
  <c r="R29" i="7"/>
  <c r="R30" i="7"/>
  <c r="T30" i="7"/>
  <c r="R33" i="7"/>
  <c r="T33" i="7"/>
  <c r="R34" i="7"/>
  <c r="R37" i="7"/>
  <c r="T37" i="7"/>
  <c r="R38" i="7"/>
  <c r="R39" i="7"/>
  <c r="T39" i="7"/>
  <c r="T40" i="7"/>
  <c r="R40" i="7"/>
  <c r="R41" i="7"/>
  <c r="R42" i="7"/>
  <c r="T42" i="7"/>
  <c r="R45" i="7"/>
  <c r="T45" i="7"/>
  <c r="R46" i="7"/>
  <c r="R47" i="7"/>
  <c r="T47" i="7"/>
  <c r="R48" i="7"/>
  <c r="R50" i="7"/>
  <c r="T50" i="7"/>
  <c r="R52" i="7"/>
  <c r="R62" i="7"/>
  <c r="R66" i="7"/>
  <c r="R78" i="7"/>
  <c r="R82" i="7"/>
  <c r="R105" i="7"/>
  <c r="R108" i="7"/>
  <c r="R116" i="7"/>
  <c r="R117" i="7"/>
  <c r="R122" i="7"/>
  <c r="R126" i="7"/>
  <c r="R133" i="7"/>
  <c r="R135" i="7"/>
  <c r="R140" i="7"/>
  <c r="R153" i="7"/>
  <c r="R170" i="7"/>
  <c r="T170" i="7"/>
  <c r="R172" i="7"/>
  <c r="T172" i="7"/>
  <c r="R175" i="7"/>
  <c r="T175" i="7"/>
  <c r="R188" i="7"/>
  <c r="T188" i="7"/>
  <c r="R214" i="7"/>
  <c r="R218" i="7"/>
  <c r="T219" i="7"/>
  <c r="R219" i="7"/>
  <c r="R221" i="7"/>
  <c r="R222" i="7"/>
  <c r="R224" i="7"/>
  <c r="T224" i="7"/>
  <c r="R226" i="7"/>
  <c r="R227" i="7"/>
  <c r="R228" i="7"/>
  <c r="R232" i="7"/>
  <c r="T232" i="7"/>
  <c r="R234" i="7"/>
  <c r="R238" i="7"/>
  <c r="T238" i="7"/>
  <c r="R249" i="7"/>
  <c r="T249" i="7"/>
  <c r="R283" i="7"/>
  <c r="T283" i="7"/>
  <c r="T285" i="7"/>
  <c r="R285" i="7"/>
  <c r="T291" i="7"/>
  <c r="R291" i="7"/>
  <c r="R292" i="7"/>
  <c r="R295" i="7"/>
  <c r="R296" i="7"/>
  <c r="R304" i="7"/>
  <c r="T304" i="7"/>
  <c r="R307" i="7"/>
  <c r="R314" i="7"/>
  <c r="T314" i="7"/>
  <c r="R318" i="7"/>
  <c r="R320" i="7"/>
  <c r="R323" i="7"/>
  <c r="T323" i="7"/>
  <c r="R325" i="7"/>
  <c r="R327" i="7"/>
  <c r="R329" i="7"/>
  <c r="V329" i="7" s="1"/>
  <c r="X329" i="7" s="1"/>
  <c r="T329" i="7"/>
  <c r="U329" i="7"/>
  <c r="W329" i="7" s="1"/>
  <c r="R331" i="7"/>
  <c r="R339" i="7"/>
  <c r="T342" i="7"/>
  <c r="R342" i="7"/>
  <c r="R344" i="7"/>
  <c r="R347" i="7"/>
  <c r="R348" i="7"/>
  <c r="R350" i="7"/>
  <c r="R351" i="7"/>
  <c r="R352" i="7"/>
  <c r="R355" i="7"/>
  <c r="R356" i="7"/>
  <c r="R357" i="7"/>
  <c r="R359" i="7"/>
  <c r="R360" i="7"/>
  <c r="R361" i="7"/>
  <c r="R366" i="7"/>
  <c r="R371" i="7"/>
  <c r="R396" i="7"/>
  <c r="R399" i="7"/>
  <c r="R400" i="7"/>
  <c r="R401" i="7"/>
  <c r="R402" i="7"/>
  <c r="R403" i="7"/>
  <c r="R404" i="7"/>
  <c r="R408" i="7"/>
  <c r="R410" i="7"/>
  <c r="R415" i="7"/>
  <c r="R416" i="7"/>
  <c r="R418" i="7"/>
  <c r="T418" i="7"/>
  <c r="R421" i="7"/>
  <c r="T421" i="7"/>
  <c r="R425" i="7"/>
  <c r="R427" i="7"/>
  <c r="R428" i="7"/>
  <c r="T428" i="7"/>
  <c r="R475" i="7"/>
  <c r="T475" i="7"/>
  <c r="R481" i="7"/>
  <c r="T481" i="7"/>
  <c r="R482" i="7"/>
  <c r="T482" i="7"/>
  <c r="R484" i="7"/>
  <c r="T484" i="7"/>
  <c r="R487" i="7"/>
  <c r="T487" i="7"/>
  <c r="V93" i="7"/>
  <c r="X93" i="7" s="1"/>
  <c r="U93" i="7"/>
  <c r="W93" i="7" s="1"/>
  <c r="R24" i="7"/>
  <c r="T24" i="7"/>
  <c r="R32" i="7"/>
  <c r="T32" i="7"/>
  <c r="R36" i="7"/>
  <c r="T36" i="7"/>
  <c r="R43" i="7"/>
  <c r="T43" i="7"/>
  <c r="R49" i="7"/>
  <c r="T49" i="7"/>
  <c r="R51" i="7"/>
  <c r="T51" i="7"/>
  <c r="V176" i="7"/>
  <c r="X176" i="7" s="1"/>
  <c r="U176" i="7"/>
  <c r="W176" i="7" s="1"/>
  <c r="V7" i="7"/>
  <c r="X7" i="7" s="1"/>
  <c r="U7" i="7"/>
  <c r="W7" i="7" s="1"/>
  <c r="V118" i="7"/>
  <c r="X118" i="7" s="1"/>
  <c r="U118" i="7"/>
  <c r="W118" i="7" s="1"/>
  <c r="V144" i="7"/>
  <c r="X144" i="7" s="1"/>
  <c r="U144" i="7"/>
  <c r="W144" i="7" s="1"/>
  <c r="V146" i="7"/>
  <c r="X146" i="7" s="1"/>
  <c r="U146" i="7"/>
  <c r="W146" i="7" s="1"/>
  <c r="V160" i="7"/>
  <c r="X160" i="7" s="1"/>
  <c r="U160" i="7"/>
  <c r="W160" i="7" s="1"/>
  <c r="V165" i="7"/>
  <c r="X165" i="7" s="1"/>
  <c r="U165" i="7"/>
  <c r="W165" i="7" s="1"/>
  <c r="V184" i="7"/>
  <c r="X184" i="7" s="1"/>
  <c r="U184" i="7"/>
  <c r="W184" i="7" s="1"/>
  <c r="V187" i="7"/>
  <c r="X187" i="7" s="1"/>
  <c r="U187" i="7"/>
  <c r="W187" i="7" s="1"/>
  <c r="V210" i="7"/>
  <c r="X210" i="7" s="1"/>
  <c r="U210" i="7"/>
  <c r="W210" i="7" s="1"/>
  <c r="V212" i="7"/>
  <c r="X212" i="7" s="1"/>
  <c r="U212" i="7"/>
  <c r="W212" i="7" s="1"/>
  <c r="R235" i="7"/>
  <c r="T235" i="7"/>
  <c r="V290" i="7"/>
  <c r="X290" i="7" s="1"/>
  <c r="U290" i="7"/>
  <c r="W290" i="7" s="1"/>
  <c r="V294" i="7"/>
  <c r="X294" i="7" s="1"/>
  <c r="U294" i="7"/>
  <c r="W294" i="7" s="1"/>
  <c r="R308" i="7"/>
  <c r="T308" i="7"/>
  <c r="R324" i="7"/>
  <c r="V324" i="7" s="1"/>
  <c r="X324" i="7" s="1"/>
  <c r="T324" i="7"/>
  <c r="U324" i="7"/>
  <c r="W324" i="7" s="1"/>
  <c r="R328" i="7"/>
  <c r="R330" i="7"/>
  <c r="V330" i="7" s="1"/>
  <c r="X330" i="7" s="1"/>
  <c r="U330" i="7"/>
  <c r="W330" i="7" s="1"/>
  <c r="V333" i="7"/>
  <c r="X333" i="7" s="1"/>
  <c r="U333" i="7"/>
  <c r="W333" i="7" s="1"/>
  <c r="R336" i="7"/>
  <c r="V336" i="7" s="1"/>
  <c r="X336" i="7" s="1"/>
  <c r="U336" i="7"/>
  <c r="W336" i="7" s="1"/>
  <c r="V337" i="7"/>
  <c r="X337" i="7" s="1"/>
  <c r="U337" i="7"/>
  <c r="W337" i="7" s="1"/>
  <c r="R345" i="7"/>
  <c r="T345" i="7"/>
  <c r="R346" i="7"/>
  <c r="V368" i="7"/>
  <c r="X368" i="7" s="1"/>
  <c r="U368" i="7"/>
  <c r="W368" i="7" s="1"/>
  <c r="R370" i="7"/>
  <c r="V373" i="7"/>
  <c r="X373" i="7" s="1"/>
  <c r="U373" i="7"/>
  <c r="W373" i="7" s="1"/>
  <c r="R398" i="7"/>
  <c r="T398" i="7"/>
  <c r="R407" i="7"/>
  <c r="T407" i="7"/>
  <c r="V485" i="7"/>
  <c r="X485" i="7" s="1"/>
  <c r="U485" i="7"/>
  <c r="W485" i="7" s="1"/>
  <c r="V492" i="7"/>
  <c r="X492" i="7" s="1"/>
  <c r="U492" i="7"/>
  <c r="W492" i="7" s="1"/>
  <c r="V463" i="7"/>
  <c r="X463" i="7" s="1"/>
  <c r="U463" i="7"/>
  <c r="W463" i="7" s="1"/>
  <c r="V465" i="7"/>
  <c r="X465" i="7" s="1"/>
  <c r="U465" i="7"/>
  <c r="W465" i="7" s="1"/>
  <c r="V468" i="7"/>
  <c r="X468" i="7" s="1"/>
  <c r="U468" i="7"/>
  <c r="W468" i="7" s="1"/>
  <c r="V192" i="7"/>
  <c r="X192" i="7" s="1"/>
  <c r="U192" i="7"/>
  <c r="W192" i="7" s="1"/>
  <c r="V198" i="7"/>
  <c r="X198" i="7" s="1"/>
  <c r="U198" i="7"/>
  <c r="W198" i="7" s="1"/>
  <c r="V203" i="7"/>
  <c r="X203" i="7" s="1"/>
  <c r="U203" i="7"/>
  <c r="W203" i="7" s="1"/>
  <c r="V204" i="7"/>
  <c r="X204" i="7" s="1"/>
  <c r="U204" i="7"/>
  <c r="W204" i="7" s="1"/>
  <c r="V206" i="7"/>
  <c r="X206" i="7" s="1"/>
  <c r="U206" i="7"/>
  <c r="W206" i="7" s="1"/>
  <c r="V209" i="7"/>
  <c r="X209" i="7" s="1"/>
  <c r="U209" i="7"/>
  <c r="W209" i="7" s="1"/>
  <c r="V230" i="7"/>
  <c r="X230" i="7" s="1"/>
  <c r="U230" i="7"/>
  <c r="W230" i="7" s="1"/>
  <c r="V231" i="7"/>
  <c r="X231" i="7" s="1"/>
  <c r="U231" i="7"/>
  <c r="W231" i="7" s="1"/>
  <c r="V237" i="7"/>
  <c r="X237" i="7" s="1"/>
  <c r="U237" i="7"/>
  <c r="W237" i="7" s="1"/>
  <c r="V242" i="7"/>
  <c r="X242" i="7" s="1"/>
  <c r="U242" i="7"/>
  <c r="W242" i="7" s="1"/>
  <c r="V244" i="7"/>
  <c r="X244" i="7" s="1"/>
  <c r="U244" i="7"/>
  <c r="W244" i="7" s="1"/>
  <c r="V245" i="7"/>
  <c r="X245" i="7" s="1"/>
  <c r="U245" i="7"/>
  <c r="W245" i="7" s="1"/>
  <c r="V246" i="7"/>
  <c r="X246" i="7" s="1"/>
  <c r="U246" i="7"/>
  <c r="W246" i="7" s="1"/>
  <c r="V248" i="7"/>
  <c r="X248" i="7" s="1"/>
  <c r="U248" i="7"/>
  <c r="W248" i="7" s="1"/>
  <c r="V250" i="7"/>
  <c r="X250" i="7" s="1"/>
  <c r="U250" i="7"/>
  <c r="W250" i="7" s="1"/>
  <c r="V254" i="7"/>
  <c r="X254" i="7" s="1"/>
  <c r="U254" i="7"/>
  <c r="W254" i="7" s="1"/>
  <c r="V256" i="7"/>
  <c r="X256" i="7" s="1"/>
  <c r="U256" i="7"/>
  <c r="W256" i="7" s="1"/>
  <c r="V258" i="7"/>
  <c r="X258" i="7" s="1"/>
  <c r="U258" i="7"/>
  <c r="W258" i="7" s="1"/>
  <c r="V260" i="7"/>
  <c r="X260" i="7" s="1"/>
  <c r="U260" i="7"/>
  <c r="W260" i="7" s="1"/>
  <c r="V262" i="7"/>
  <c r="X262" i="7" s="1"/>
  <c r="U262" i="7"/>
  <c r="W262" i="7" s="1"/>
  <c r="V273" i="7"/>
  <c r="X273" i="7" s="1"/>
  <c r="U273" i="7"/>
  <c r="W273" i="7" s="1"/>
  <c r="V277" i="7"/>
  <c r="X277" i="7" s="1"/>
  <c r="U277" i="7"/>
  <c r="W277" i="7" s="1"/>
  <c r="V282" i="7"/>
  <c r="X282" i="7" s="1"/>
  <c r="U282" i="7"/>
  <c r="W282" i="7" s="1"/>
  <c r="V289" i="7"/>
  <c r="X289" i="7" s="1"/>
  <c r="U289" i="7"/>
  <c r="W289" i="7" s="1"/>
  <c r="V293" i="7"/>
  <c r="X293" i="7" s="1"/>
  <c r="U293" i="7"/>
  <c r="W293" i="7" s="1"/>
  <c r="V300" i="7"/>
  <c r="X300" i="7" s="1"/>
  <c r="U300" i="7"/>
  <c r="W300" i="7" s="1"/>
  <c r="V302" i="7"/>
  <c r="X302" i="7" s="1"/>
  <c r="U302" i="7"/>
  <c r="W302" i="7" s="1"/>
  <c r="V310" i="7"/>
  <c r="X310" i="7" s="1"/>
  <c r="U310" i="7"/>
  <c r="W310" i="7" s="1"/>
  <c r="V316" i="7"/>
  <c r="X316" i="7" s="1"/>
  <c r="U316" i="7"/>
  <c r="W316" i="7" s="1"/>
  <c r="V319" i="7"/>
  <c r="X319" i="7" s="1"/>
  <c r="U319" i="7"/>
  <c r="W319" i="7" s="1"/>
  <c r="V332" i="7"/>
  <c r="X332" i="7" s="1"/>
  <c r="U332" i="7"/>
  <c r="W332" i="7" s="1"/>
  <c r="V423" i="7"/>
  <c r="X423" i="7" s="1"/>
  <c r="U423" i="7"/>
  <c r="W423" i="7" s="1"/>
  <c r="V431" i="7"/>
  <c r="X431" i="7" s="1"/>
  <c r="U431" i="7"/>
  <c r="W431" i="7" s="1"/>
  <c r="V432" i="7"/>
  <c r="X432" i="7" s="1"/>
  <c r="U432" i="7"/>
  <c r="W432" i="7" s="1"/>
  <c r="V433" i="7"/>
  <c r="X433" i="7" s="1"/>
  <c r="U433" i="7"/>
  <c r="W433" i="7" s="1"/>
  <c r="V434" i="7"/>
  <c r="X434" i="7" s="1"/>
  <c r="U434" i="7"/>
  <c r="W434" i="7" s="1"/>
  <c r="V436" i="7"/>
  <c r="X436" i="7" s="1"/>
  <c r="U436" i="7"/>
  <c r="W436" i="7" s="1"/>
  <c r="V437" i="7"/>
  <c r="X437" i="7" s="1"/>
  <c r="U437" i="7"/>
  <c r="W437" i="7" s="1"/>
  <c r="V439" i="7"/>
  <c r="X439" i="7" s="1"/>
  <c r="U439" i="7"/>
  <c r="W439" i="7" s="1"/>
  <c r="V440" i="7"/>
  <c r="X440" i="7" s="1"/>
  <c r="U440" i="7"/>
  <c r="W440" i="7" s="1"/>
  <c r="V442" i="7"/>
  <c r="X442" i="7" s="1"/>
  <c r="U442" i="7"/>
  <c r="W442" i="7" s="1"/>
  <c r="V445" i="7"/>
  <c r="X445" i="7" s="1"/>
  <c r="U445" i="7"/>
  <c r="W445" i="7" s="1"/>
  <c r="V447" i="7"/>
  <c r="X447" i="7" s="1"/>
  <c r="U447" i="7"/>
  <c r="W447" i="7" s="1"/>
  <c r="V448" i="7"/>
  <c r="X448" i="7" s="1"/>
  <c r="U448" i="7"/>
  <c r="W448" i="7" s="1"/>
  <c r="V450" i="7"/>
  <c r="X450" i="7" s="1"/>
  <c r="U450" i="7"/>
  <c r="W450" i="7" s="1"/>
  <c r="V452" i="7"/>
  <c r="X452" i="7" s="1"/>
  <c r="U452" i="7"/>
  <c r="W452" i="7" s="1"/>
  <c r="V458" i="7"/>
  <c r="X458" i="7" s="1"/>
  <c r="U458" i="7"/>
  <c r="W458" i="7" s="1"/>
  <c r="V460" i="7"/>
  <c r="X460" i="7" s="1"/>
  <c r="U460" i="7"/>
  <c r="W460" i="7" s="1"/>
  <c r="V461" i="7"/>
  <c r="X461" i="7" s="1"/>
  <c r="U461" i="7"/>
  <c r="W461" i="7" s="1"/>
  <c r="V464" i="7"/>
  <c r="X464" i="7" s="1"/>
  <c r="U464" i="7"/>
  <c r="W464" i="7" s="1"/>
  <c r="V466" i="7"/>
  <c r="X466" i="7" s="1"/>
  <c r="U466" i="7"/>
  <c r="W466" i="7" s="1"/>
  <c r="V467" i="7"/>
  <c r="X467" i="7" s="1"/>
  <c r="U467" i="7"/>
  <c r="W467" i="7" s="1"/>
  <c r="V469" i="7"/>
  <c r="X469" i="7" s="1"/>
  <c r="U469" i="7"/>
  <c r="W469" i="7" s="1"/>
  <c r="V495" i="7"/>
  <c r="X495" i="7" s="1"/>
  <c r="U495" i="7"/>
  <c r="W495" i="7" s="1"/>
  <c r="V496" i="7"/>
  <c r="X496" i="7" s="1"/>
  <c r="U496" i="7"/>
  <c r="W496" i="7" s="1"/>
  <c r="R478" i="7"/>
  <c r="V220" i="7" l="1"/>
  <c r="X220" i="7" s="1"/>
  <c r="U220" i="7"/>
  <c r="W220" i="7" s="1"/>
  <c r="V150" i="7"/>
  <c r="X150" i="7" s="1"/>
  <c r="U150" i="7"/>
  <c r="W150" i="7" s="1"/>
  <c r="U183" i="7"/>
  <c r="W183" i="7" s="1"/>
  <c r="V183" i="7"/>
  <c r="X183" i="7" s="1"/>
  <c r="V338" i="7"/>
  <c r="X338" i="7" s="1"/>
  <c r="U338" i="7"/>
  <c r="W338" i="7" s="1"/>
  <c r="V340" i="7"/>
  <c r="X340" i="7" s="1"/>
  <c r="U340" i="7"/>
  <c r="W340" i="7" s="1"/>
  <c r="V476" i="7"/>
  <c r="X476" i="7" s="1"/>
  <c r="U476" i="7"/>
  <c r="W476" i="7" s="1"/>
  <c r="V229" i="7"/>
  <c r="X229" i="7" s="1"/>
  <c r="U229" i="7"/>
  <c r="W229" i="7" s="1"/>
  <c r="V236" i="7"/>
  <c r="X236" i="7" s="1"/>
  <c r="U236" i="7"/>
  <c r="W236" i="7" s="1"/>
  <c r="V211" i="7"/>
  <c r="X211" i="7" s="1"/>
  <c r="U211" i="7"/>
  <c r="W211" i="7" s="1"/>
  <c r="V309" i="7"/>
  <c r="X309" i="7" s="1"/>
  <c r="U309" i="7"/>
  <c r="W309" i="7" s="1"/>
  <c r="V308" i="7"/>
  <c r="X308" i="7" s="1"/>
  <c r="U308" i="7"/>
  <c r="W308" i="7" s="1"/>
  <c r="V328" i="7"/>
  <c r="X328" i="7" s="1"/>
  <c r="U328" i="7"/>
  <c r="W328" i="7" s="1"/>
  <c r="U58" i="7"/>
  <c r="W58" i="7" s="1"/>
  <c r="V58" i="7"/>
  <c r="X58" i="7" s="1"/>
  <c r="U60" i="7"/>
  <c r="W60" i="7" s="1"/>
  <c r="V60" i="7"/>
  <c r="X60" i="7" s="1"/>
  <c r="U63" i="7"/>
  <c r="W63" i="7" s="1"/>
  <c r="V63" i="7"/>
  <c r="X63" i="7" s="1"/>
  <c r="U65" i="7"/>
  <c r="W65" i="7" s="1"/>
  <c r="V65" i="7"/>
  <c r="X65" i="7" s="1"/>
  <c r="U68" i="7"/>
  <c r="W68" i="7" s="1"/>
  <c r="V68" i="7"/>
  <c r="X68" i="7" s="1"/>
  <c r="U70" i="7"/>
  <c r="W70" i="7" s="1"/>
  <c r="V70" i="7"/>
  <c r="X70" i="7" s="1"/>
  <c r="U71" i="7"/>
  <c r="W71" i="7" s="1"/>
  <c r="V71" i="7"/>
  <c r="X71" i="7" s="1"/>
  <c r="U72" i="7"/>
  <c r="W72" i="7" s="1"/>
  <c r="V72" i="7"/>
  <c r="X72" i="7" s="1"/>
  <c r="U124" i="7"/>
  <c r="W124" i="7" s="1"/>
  <c r="V124" i="7"/>
  <c r="X124" i="7" s="1"/>
  <c r="U143" i="7"/>
  <c r="W143" i="7" s="1"/>
  <c r="V143" i="7"/>
  <c r="X143" i="7" s="1"/>
  <c r="V125" i="7"/>
  <c r="X125" i="7" s="1"/>
  <c r="U125" i="7"/>
  <c r="W125" i="7" s="1"/>
  <c r="V127" i="7"/>
  <c r="X127" i="7" s="1"/>
  <c r="U127" i="7"/>
  <c r="W127" i="7" s="1"/>
  <c r="U128" i="7"/>
  <c r="W128" i="7" s="1"/>
  <c r="V128" i="7"/>
  <c r="X128" i="7" s="1"/>
  <c r="V130" i="7"/>
  <c r="X130" i="7" s="1"/>
  <c r="U130" i="7"/>
  <c r="W130" i="7" s="1"/>
  <c r="V131" i="7"/>
  <c r="X131" i="7" s="1"/>
  <c r="U131" i="7"/>
  <c r="W131" i="7" s="1"/>
  <c r="U132" i="7"/>
  <c r="W132" i="7" s="1"/>
  <c r="V132" i="7"/>
  <c r="X132" i="7" s="1"/>
  <c r="V134" i="7"/>
  <c r="X134" i="7" s="1"/>
  <c r="U134" i="7"/>
  <c r="W134" i="7" s="1"/>
  <c r="U136" i="7"/>
  <c r="W136" i="7" s="1"/>
  <c r="V136" i="7"/>
  <c r="X136" i="7" s="1"/>
  <c r="V138" i="7"/>
  <c r="X138" i="7" s="1"/>
  <c r="U138" i="7"/>
  <c r="W138" i="7" s="1"/>
  <c r="V139" i="7"/>
  <c r="X139" i="7" s="1"/>
  <c r="U139" i="7"/>
  <c r="W139" i="7" s="1"/>
  <c r="V141" i="7"/>
  <c r="X141" i="7" s="1"/>
  <c r="U141" i="7"/>
  <c r="W141" i="7" s="1"/>
  <c r="U142" i="7"/>
  <c r="W142" i="7" s="1"/>
  <c r="V142" i="7"/>
  <c r="X142" i="7" s="1"/>
  <c r="V145" i="7"/>
  <c r="X145" i="7" s="1"/>
  <c r="U145" i="7"/>
  <c r="W145" i="7" s="1"/>
  <c r="V147" i="7"/>
  <c r="X147" i="7" s="1"/>
  <c r="U147" i="7"/>
  <c r="W147" i="7" s="1"/>
  <c r="U148" i="7"/>
  <c r="W148" i="7" s="1"/>
  <c r="V148" i="7"/>
  <c r="X148" i="7" s="1"/>
  <c r="V149" i="7"/>
  <c r="X149" i="7" s="1"/>
  <c r="U149" i="7"/>
  <c r="W149" i="7" s="1"/>
  <c r="U151" i="7"/>
  <c r="W151" i="7" s="1"/>
  <c r="V151" i="7"/>
  <c r="X151" i="7" s="1"/>
  <c r="U152" i="7"/>
  <c r="W152" i="7" s="1"/>
  <c r="V152" i="7"/>
  <c r="X152" i="7" s="1"/>
  <c r="U154" i="7"/>
  <c r="W154" i="7" s="1"/>
  <c r="V154" i="7"/>
  <c r="X154" i="7" s="1"/>
  <c r="V158" i="7"/>
  <c r="X158" i="7" s="1"/>
  <c r="U158" i="7"/>
  <c r="W158" i="7" s="1"/>
  <c r="U159" i="7"/>
  <c r="W159" i="7" s="1"/>
  <c r="V159" i="7"/>
  <c r="X159" i="7" s="1"/>
  <c r="V162" i="7"/>
  <c r="X162" i="7" s="1"/>
  <c r="U162" i="7"/>
  <c r="W162" i="7" s="1"/>
  <c r="U163" i="7"/>
  <c r="W163" i="7" s="1"/>
  <c r="V163" i="7"/>
  <c r="X163" i="7" s="1"/>
  <c r="U164" i="7"/>
  <c r="W164" i="7" s="1"/>
  <c r="V164" i="7"/>
  <c r="X164" i="7" s="1"/>
  <c r="V479" i="7"/>
  <c r="X479" i="7" s="1"/>
  <c r="U479" i="7"/>
  <c r="W479" i="7" s="1"/>
  <c r="V247" i="7"/>
  <c r="X247" i="7" s="1"/>
  <c r="U247" i="7"/>
  <c r="W247" i="7" s="1"/>
  <c r="V303" i="7"/>
  <c r="X303" i="7" s="1"/>
  <c r="U303" i="7"/>
  <c r="W303" i="7" s="1"/>
  <c r="V133" i="7"/>
  <c r="X133" i="7" s="1"/>
  <c r="U133" i="7"/>
  <c r="W133" i="7" s="1"/>
  <c r="V153" i="7"/>
  <c r="X153" i="7" s="1"/>
  <c r="U153" i="7"/>
  <c r="W153" i="7" s="1"/>
  <c r="U86" i="7"/>
  <c r="W86" i="7" s="1"/>
  <c r="V86" i="7"/>
  <c r="X86" i="7" s="1"/>
  <c r="U94" i="7"/>
  <c r="W94" i="7" s="1"/>
  <c r="V94" i="7"/>
  <c r="X94" i="7" s="1"/>
  <c r="U97" i="7"/>
  <c r="W97" i="7" s="1"/>
  <c r="V97" i="7"/>
  <c r="X97" i="7" s="1"/>
  <c r="V335" i="7"/>
  <c r="X335" i="7" s="1"/>
  <c r="U335" i="7"/>
  <c r="W335" i="7" s="1"/>
  <c r="V490" i="7"/>
  <c r="X490" i="7" s="1"/>
  <c r="U490" i="7"/>
  <c r="W490" i="7" s="1"/>
  <c r="U155" i="7"/>
  <c r="W155" i="7" s="1"/>
  <c r="V155" i="7"/>
  <c r="X155" i="7" s="1"/>
  <c r="U156" i="7"/>
  <c r="W156" i="7" s="1"/>
  <c r="V156" i="7"/>
  <c r="X156" i="7" s="1"/>
  <c r="U157" i="7"/>
  <c r="W157" i="7" s="1"/>
  <c r="V157" i="7"/>
  <c r="X157" i="7" s="1"/>
  <c r="U493" i="7"/>
  <c r="W493" i="7" s="1"/>
  <c r="V493" i="7"/>
  <c r="X493" i="7" s="1"/>
  <c r="V494" i="7"/>
  <c r="X494" i="7" s="1"/>
  <c r="U494" i="7"/>
  <c r="W494" i="7" s="1"/>
  <c r="V497" i="7"/>
  <c r="X497" i="7" s="1"/>
  <c r="U497" i="7"/>
  <c r="W497" i="7" s="1"/>
  <c r="U426" i="7"/>
  <c r="W426" i="7" s="1"/>
  <c r="V426" i="7"/>
  <c r="X426" i="7" s="1"/>
  <c r="U429" i="7"/>
  <c r="W429" i="7" s="1"/>
  <c r="V429" i="7"/>
  <c r="X429" i="7" s="1"/>
  <c r="U438" i="7"/>
  <c r="W438" i="7" s="1"/>
  <c r="V438" i="7"/>
  <c r="X438" i="7" s="1"/>
  <c r="V5" i="7"/>
  <c r="X5" i="7" s="1"/>
  <c r="U5" i="7"/>
  <c r="W5" i="7" s="1"/>
  <c r="U109" i="7"/>
  <c r="W109" i="7" s="1"/>
  <c r="V109" i="7"/>
  <c r="X109" i="7" s="1"/>
  <c r="V462" i="7"/>
  <c r="X462" i="7" s="1"/>
  <c r="U462" i="7"/>
  <c r="W462" i="7" s="1"/>
  <c r="V473" i="7"/>
  <c r="X473" i="7" s="1"/>
  <c r="U473" i="7"/>
  <c r="W473" i="7" s="1"/>
  <c r="V477" i="7"/>
  <c r="X477" i="7" s="1"/>
  <c r="U477" i="7"/>
  <c r="W477" i="7" s="1"/>
  <c r="V62" i="7"/>
  <c r="X62" i="7" s="1"/>
  <c r="U62" i="7"/>
  <c r="W62" i="7" s="1"/>
  <c r="V78" i="7"/>
  <c r="X78" i="7" s="1"/>
  <c r="U78" i="7"/>
  <c r="W78" i="7" s="1"/>
  <c r="V82" i="7"/>
  <c r="X82" i="7" s="1"/>
  <c r="U82" i="7"/>
  <c r="W82" i="7" s="1"/>
  <c r="V105" i="7"/>
  <c r="X105" i="7" s="1"/>
  <c r="U105" i="7"/>
  <c r="W105" i="7" s="1"/>
  <c r="V108" i="7"/>
  <c r="X108" i="7" s="1"/>
  <c r="U108" i="7"/>
  <c r="W108" i="7" s="1"/>
  <c r="V122" i="7"/>
  <c r="X122" i="7" s="1"/>
  <c r="U122" i="7"/>
  <c r="W122" i="7" s="1"/>
  <c r="V126" i="7"/>
  <c r="X126" i="7" s="1"/>
  <c r="U126" i="7"/>
  <c r="W126" i="7" s="1"/>
  <c r="V135" i="7"/>
  <c r="X135" i="7" s="1"/>
  <c r="U135" i="7"/>
  <c r="W135" i="7" s="1"/>
  <c r="V140" i="7"/>
  <c r="X140" i="7" s="1"/>
  <c r="U140" i="7"/>
  <c r="W140" i="7" s="1"/>
  <c r="V234" i="7"/>
  <c r="X234" i="7" s="1"/>
  <c r="U234" i="7"/>
  <c r="W234" i="7" s="1"/>
  <c r="V325" i="7"/>
  <c r="X325" i="7" s="1"/>
  <c r="U325" i="7"/>
  <c r="W325" i="7" s="1"/>
  <c r="V327" i="7"/>
  <c r="X327" i="7" s="1"/>
  <c r="U327" i="7"/>
  <c r="W327" i="7" s="1"/>
  <c r="V359" i="7"/>
  <c r="X359" i="7" s="1"/>
  <c r="U359" i="7"/>
  <c r="W359" i="7" s="1"/>
  <c r="V416" i="7"/>
  <c r="X416" i="7" s="1"/>
  <c r="U416" i="7"/>
  <c r="W416" i="7" s="1"/>
  <c r="V345" i="7"/>
  <c r="X345" i="7" s="1"/>
  <c r="U345" i="7"/>
  <c r="W345" i="7" s="1"/>
  <c r="U284" i="7"/>
  <c r="W284" i="7" s="1"/>
  <c r="V284" i="7"/>
  <c r="X284" i="7" s="1"/>
  <c r="U297" i="7"/>
  <c r="W297" i="7" s="1"/>
  <c r="V297" i="7"/>
  <c r="X297" i="7" s="1"/>
  <c r="U299" i="7"/>
  <c r="W299" i="7" s="1"/>
  <c r="V299" i="7"/>
  <c r="X299" i="7" s="1"/>
  <c r="U6" i="7"/>
  <c r="W6" i="7" s="1"/>
  <c r="V6" i="7"/>
  <c r="X6" i="7" s="1"/>
  <c r="U9" i="7"/>
  <c r="W9" i="7" s="1"/>
  <c r="V9" i="7"/>
  <c r="X9" i="7" s="1"/>
  <c r="U15" i="7"/>
  <c r="W15" i="7" s="1"/>
  <c r="V15" i="7"/>
  <c r="X15" i="7" s="1"/>
  <c r="U31" i="7"/>
  <c r="W31" i="7" s="1"/>
  <c r="V31" i="7"/>
  <c r="X31" i="7" s="1"/>
  <c r="U35" i="7"/>
  <c r="W35" i="7" s="1"/>
  <c r="V35" i="7"/>
  <c r="X35" i="7" s="1"/>
  <c r="U44" i="7"/>
  <c r="W44" i="7" s="1"/>
  <c r="V44" i="7"/>
  <c r="X44" i="7" s="1"/>
  <c r="V208" i="7"/>
  <c r="X208" i="7" s="1"/>
  <c r="U208" i="7"/>
  <c r="W208" i="7" s="1"/>
  <c r="V217" i="7"/>
  <c r="X217" i="7" s="1"/>
  <c r="U217" i="7"/>
  <c r="W217" i="7" s="1"/>
  <c r="V225" i="7"/>
  <c r="X225" i="7" s="1"/>
  <c r="U225" i="7"/>
  <c r="W225" i="7" s="1"/>
  <c r="V233" i="7"/>
  <c r="X233" i="7" s="1"/>
  <c r="U233" i="7"/>
  <c r="W233" i="7" s="1"/>
  <c r="V240" i="7"/>
  <c r="X240" i="7" s="1"/>
  <c r="U240" i="7"/>
  <c r="W240" i="7" s="1"/>
  <c r="V241" i="7"/>
  <c r="X241" i="7" s="1"/>
  <c r="U241" i="7"/>
  <c r="W241" i="7" s="1"/>
  <c r="V243" i="7"/>
  <c r="X243" i="7" s="1"/>
  <c r="U243" i="7"/>
  <c r="W243" i="7" s="1"/>
  <c r="V312" i="7"/>
  <c r="X312" i="7" s="1"/>
  <c r="U312" i="7"/>
  <c r="W312" i="7" s="1"/>
  <c r="V472" i="7"/>
  <c r="X472" i="7" s="1"/>
  <c r="U472" i="7"/>
  <c r="W472" i="7" s="1"/>
  <c r="V8" i="7"/>
  <c r="X8" i="7" s="1"/>
  <c r="U8" i="7"/>
  <c r="W8" i="7" s="1"/>
  <c r="V298" i="7"/>
  <c r="X298" i="7" s="1"/>
  <c r="U298" i="7"/>
  <c r="W298" i="7" s="1"/>
  <c r="V321" i="7"/>
  <c r="X321" i="7" s="1"/>
  <c r="U321" i="7"/>
  <c r="W321" i="7" s="1"/>
  <c r="V47" i="7"/>
  <c r="X47" i="7" s="1"/>
  <c r="U47" i="7"/>
  <c r="W47" i="7" s="1"/>
  <c r="V221" i="7"/>
  <c r="X221" i="7" s="1"/>
  <c r="U221" i="7"/>
  <c r="W221" i="7" s="1"/>
  <c r="V235" i="7"/>
  <c r="X235" i="7" s="1"/>
  <c r="U235" i="7"/>
  <c r="W235" i="7" s="1"/>
  <c r="V346" i="7"/>
  <c r="X346" i="7" s="1"/>
  <c r="U346" i="7"/>
  <c r="W346" i="7" s="1"/>
  <c r="V370" i="7"/>
  <c r="X370" i="7" s="1"/>
  <c r="U370" i="7"/>
  <c r="W370" i="7" s="1"/>
  <c r="V398" i="7"/>
  <c r="X398" i="7" s="1"/>
  <c r="U398" i="7"/>
  <c r="W398" i="7" s="1"/>
  <c r="V407" i="7"/>
  <c r="X407" i="7" s="1"/>
  <c r="U407" i="7"/>
  <c r="W407" i="7" s="1"/>
  <c r="U11" i="7"/>
  <c r="W11" i="7" s="1"/>
  <c r="V11" i="7"/>
  <c r="X11" i="7" s="1"/>
  <c r="U13" i="7"/>
  <c r="W13" i="7" s="1"/>
  <c r="V13" i="7"/>
  <c r="X13" i="7" s="1"/>
  <c r="U16" i="7"/>
  <c r="W16" i="7" s="1"/>
  <c r="V16" i="7"/>
  <c r="X16" i="7" s="1"/>
  <c r="U18" i="7"/>
  <c r="W18" i="7" s="1"/>
  <c r="V18" i="7"/>
  <c r="X18" i="7" s="1"/>
  <c r="U21" i="7"/>
  <c r="W21" i="7" s="1"/>
  <c r="V21" i="7"/>
  <c r="X21" i="7" s="1"/>
  <c r="U23" i="7"/>
  <c r="W23" i="7" s="1"/>
  <c r="V23" i="7"/>
  <c r="X23" i="7" s="1"/>
  <c r="U25" i="7"/>
  <c r="W25" i="7" s="1"/>
  <c r="V25" i="7"/>
  <c r="X25" i="7" s="1"/>
  <c r="U27" i="7"/>
  <c r="W27" i="7" s="1"/>
  <c r="V27" i="7"/>
  <c r="X27" i="7" s="1"/>
  <c r="U33" i="7"/>
  <c r="W33" i="7" s="1"/>
  <c r="V33" i="7"/>
  <c r="X33" i="7" s="1"/>
  <c r="U37" i="7"/>
  <c r="W37" i="7" s="1"/>
  <c r="V37" i="7"/>
  <c r="X37" i="7" s="1"/>
  <c r="U42" i="7"/>
  <c r="W42" i="7" s="1"/>
  <c r="V42" i="7"/>
  <c r="X42" i="7" s="1"/>
  <c r="U50" i="7"/>
  <c r="W50" i="7" s="1"/>
  <c r="V50" i="7"/>
  <c r="X50" i="7" s="1"/>
  <c r="V170" i="7"/>
  <c r="X170" i="7" s="1"/>
  <c r="U170" i="7"/>
  <c r="W170" i="7" s="1"/>
  <c r="U172" i="7"/>
  <c r="W172" i="7" s="1"/>
  <c r="V172" i="7"/>
  <c r="X172" i="7" s="1"/>
  <c r="V188" i="7"/>
  <c r="X188" i="7" s="1"/>
  <c r="U188" i="7"/>
  <c r="W188" i="7" s="1"/>
  <c r="U238" i="7"/>
  <c r="W238" i="7" s="1"/>
  <c r="V238" i="7"/>
  <c r="X238" i="7" s="1"/>
  <c r="U283" i="7"/>
  <c r="W283" i="7" s="1"/>
  <c r="V283" i="7"/>
  <c r="X283" i="7" s="1"/>
  <c r="U304" i="7"/>
  <c r="W304" i="7" s="1"/>
  <c r="V304" i="7"/>
  <c r="X304" i="7" s="1"/>
  <c r="U314" i="7"/>
  <c r="W314" i="7" s="1"/>
  <c r="V314" i="7"/>
  <c r="X314" i="7" s="1"/>
  <c r="U428" i="7"/>
  <c r="W428" i="7" s="1"/>
  <c r="V428" i="7"/>
  <c r="X428" i="7" s="1"/>
  <c r="U482" i="7"/>
  <c r="W482" i="7" s="1"/>
  <c r="V482" i="7"/>
  <c r="X482" i="7" s="1"/>
  <c r="U484" i="7"/>
  <c r="W484" i="7" s="1"/>
  <c r="V484" i="7"/>
  <c r="X484" i="7" s="1"/>
  <c r="U487" i="7"/>
  <c r="W487" i="7" s="1"/>
  <c r="V487" i="7"/>
  <c r="X487" i="7" s="1"/>
  <c r="U24" i="7"/>
  <c r="W24" i="7" s="1"/>
  <c r="V24" i="7"/>
  <c r="X24" i="7" s="1"/>
  <c r="U32" i="7"/>
  <c r="W32" i="7" s="1"/>
  <c r="V32" i="7"/>
  <c r="X32" i="7" s="1"/>
  <c r="U36" i="7"/>
  <c r="W36" i="7" s="1"/>
  <c r="V36" i="7"/>
  <c r="X36" i="7" s="1"/>
  <c r="U43" i="7"/>
  <c r="W43" i="7" s="1"/>
  <c r="V43" i="7"/>
  <c r="X43" i="7" s="1"/>
  <c r="U49" i="7"/>
  <c r="W49" i="7" s="1"/>
  <c r="V49" i="7"/>
  <c r="X49" i="7" s="1"/>
  <c r="U51" i="7"/>
  <c r="W51" i="7" s="1"/>
  <c r="V51" i="7"/>
  <c r="X51" i="7" s="1"/>
  <c r="V4" i="7"/>
  <c r="X4" i="7" s="1"/>
  <c r="U4" i="7"/>
  <c r="W4" i="7" s="1"/>
  <c r="V10" i="7"/>
  <c r="X10" i="7" s="1"/>
  <c r="U10" i="7"/>
  <c r="W10" i="7" s="1"/>
  <c r="V12" i="7"/>
  <c r="X12" i="7" s="1"/>
  <c r="U12" i="7"/>
  <c r="W12" i="7" s="1"/>
  <c r="V17" i="7"/>
  <c r="X17" i="7" s="1"/>
  <c r="U17" i="7"/>
  <c r="W17" i="7" s="1"/>
  <c r="V19" i="7"/>
  <c r="X19" i="7" s="1"/>
  <c r="U19" i="7"/>
  <c r="W19" i="7" s="1"/>
  <c r="V20" i="7"/>
  <c r="X20" i="7" s="1"/>
  <c r="U20" i="7"/>
  <c r="W20" i="7" s="1"/>
  <c r="V22" i="7"/>
  <c r="X22" i="7" s="1"/>
  <c r="U22" i="7"/>
  <c r="W22" i="7" s="1"/>
  <c r="V26" i="7"/>
  <c r="X26" i="7" s="1"/>
  <c r="U26" i="7"/>
  <c r="W26" i="7" s="1"/>
  <c r="V28" i="7"/>
  <c r="X28" i="7" s="1"/>
  <c r="U28" i="7"/>
  <c r="W28" i="7" s="1"/>
  <c r="V29" i="7"/>
  <c r="X29" i="7" s="1"/>
  <c r="U29" i="7"/>
  <c r="W29" i="7" s="1"/>
  <c r="V30" i="7"/>
  <c r="X30" i="7" s="1"/>
  <c r="U30" i="7"/>
  <c r="W30" i="7" s="1"/>
  <c r="V34" i="7"/>
  <c r="X34" i="7" s="1"/>
  <c r="U34" i="7"/>
  <c r="W34" i="7" s="1"/>
  <c r="V38" i="7"/>
  <c r="X38" i="7" s="1"/>
  <c r="U38" i="7"/>
  <c r="W38" i="7" s="1"/>
  <c r="V39" i="7"/>
  <c r="X39" i="7" s="1"/>
  <c r="U39" i="7"/>
  <c r="W39" i="7" s="1"/>
  <c r="V40" i="7"/>
  <c r="X40" i="7" s="1"/>
  <c r="U40" i="7"/>
  <c r="W40" i="7" s="1"/>
  <c r="V41" i="7"/>
  <c r="X41" i="7" s="1"/>
  <c r="U41" i="7"/>
  <c r="W41" i="7" s="1"/>
  <c r="V45" i="7"/>
  <c r="X45" i="7" s="1"/>
  <c r="U45" i="7"/>
  <c r="W45" i="7" s="1"/>
  <c r="V46" i="7"/>
  <c r="X46" i="7" s="1"/>
  <c r="U46" i="7"/>
  <c r="W46" i="7" s="1"/>
  <c r="V48" i="7"/>
  <c r="X48" i="7" s="1"/>
  <c r="U48" i="7"/>
  <c r="W48" i="7" s="1"/>
  <c r="V52" i="7"/>
  <c r="X52" i="7" s="1"/>
  <c r="U52" i="7"/>
  <c r="W52" i="7" s="1"/>
  <c r="V66" i="7"/>
  <c r="X66" i="7" s="1"/>
  <c r="U66" i="7"/>
  <c r="W66" i="7" s="1"/>
  <c r="V116" i="7"/>
  <c r="X116" i="7" s="1"/>
  <c r="U116" i="7"/>
  <c r="W116" i="7" s="1"/>
  <c r="V117" i="7"/>
  <c r="X117" i="7" s="1"/>
  <c r="U117" i="7"/>
  <c r="W117" i="7" s="1"/>
  <c r="V175" i="7"/>
  <c r="X175" i="7" s="1"/>
  <c r="U175" i="7"/>
  <c r="W175" i="7" s="1"/>
  <c r="V214" i="7"/>
  <c r="X214" i="7" s="1"/>
  <c r="U214" i="7"/>
  <c r="W214" i="7" s="1"/>
  <c r="V218" i="7"/>
  <c r="X218" i="7" s="1"/>
  <c r="U218" i="7"/>
  <c r="W218" i="7" s="1"/>
  <c r="V219" i="7"/>
  <c r="X219" i="7" s="1"/>
  <c r="U219" i="7"/>
  <c r="W219" i="7" s="1"/>
  <c r="V222" i="7"/>
  <c r="X222" i="7" s="1"/>
  <c r="U222" i="7"/>
  <c r="W222" i="7" s="1"/>
  <c r="V224" i="7"/>
  <c r="X224" i="7" s="1"/>
  <c r="U224" i="7"/>
  <c r="W224" i="7" s="1"/>
  <c r="V226" i="7"/>
  <c r="X226" i="7" s="1"/>
  <c r="U226" i="7"/>
  <c r="W226" i="7" s="1"/>
  <c r="V227" i="7"/>
  <c r="X227" i="7" s="1"/>
  <c r="U227" i="7"/>
  <c r="W227" i="7" s="1"/>
  <c r="V228" i="7"/>
  <c r="X228" i="7" s="1"/>
  <c r="U228" i="7"/>
  <c r="W228" i="7" s="1"/>
  <c r="V232" i="7"/>
  <c r="X232" i="7" s="1"/>
  <c r="U232" i="7"/>
  <c r="W232" i="7" s="1"/>
  <c r="V249" i="7"/>
  <c r="X249" i="7" s="1"/>
  <c r="U249" i="7"/>
  <c r="W249" i="7" s="1"/>
  <c r="V285" i="7"/>
  <c r="X285" i="7" s="1"/>
  <c r="U285" i="7"/>
  <c r="W285" i="7" s="1"/>
  <c r="V291" i="7"/>
  <c r="X291" i="7" s="1"/>
  <c r="U291" i="7"/>
  <c r="W291" i="7" s="1"/>
  <c r="V292" i="7"/>
  <c r="X292" i="7" s="1"/>
  <c r="U292" i="7"/>
  <c r="W292" i="7" s="1"/>
  <c r="V295" i="7"/>
  <c r="X295" i="7" s="1"/>
  <c r="U295" i="7"/>
  <c r="W295" i="7" s="1"/>
  <c r="V296" i="7"/>
  <c r="X296" i="7" s="1"/>
  <c r="U296" i="7"/>
  <c r="W296" i="7" s="1"/>
  <c r="V307" i="7"/>
  <c r="X307" i="7" s="1"/>
  <c r="U307" i="7"/>
  <c r="W307" i="7" s="1"/>
  <c r="V318" i="7"/>
  <c r="X318" i="7" s="1"/>
  <c r="U318" i="7"/>
  <c r="W318" i="7" s="1"/>
  <c r="V320" i="7"/>
  <c r="X320" i="7" s="1"/>
  <c r="U320" i="7"/>
  <c r="W320" i="7" s="1"/>
  <c r="V323" i="7"/>
  <c r="X323" i="7" s="1"/>
  <c r="U323" i="7"/>
  <c r="W323" i="7" s="1"/>
  <c r="V331" i="7"/>
  <c r="X331" i="7" s="1"/>
  <c r="U331" i="7"/>
  <c r="W331" i="7" s="1"/>
  <c r="V339" i="7"/>
  <c r="X339" i="7" s="1"/>
  <c r="U339" i="7"/>
  <c r="W339" i="7" s="1"/>
  <c r="V342" i="7"/>
  <c r="X342" i="7" s="1"/>
  <c r="U342" i="7"/>
  <c r="W342" i="7" s="1"/>
  <c r="V344" i="7"/>
  <c r="X344" i="7" s="1"/>
  <c r="U344" i="7"/>
  <c r="W344" i="7" s="1"/>
  <c r="V347" i="7"/>
  <c r="X347" i="7" s="1"/>
  <c r="U347" i="7"/>
  <c r="W347" i="7" s="1"/>
  <c r="V348" i="7"/>
  <c r="X348" i="7" s="1"/>
  <c r="U348" i="7"/>
  <c r="W348" i="7" s="1"/>
  <c r="V350" i="7"/>
  <c r="X350" i="7" s="1"/>
  <c r="U350" i="7"/>
  <c r="W350" i="7" s="1"/>
  <c r="V351" i="7"/>
  <c r="X351" i="7" s="1"/>
  <c r="U351" i="7"/>
  <c r="W351" i="7" s="1"/>
  <c r="V352" i="7"/>
  <c r="X352" i="7" s="1"/>
  <c r="U352" i="7"/>
  <c r="W352" i="7" s="1"/>
  <c r="V355" i="7"/>
  <c r="X355" i="7" s="1"/>
  <c r="U355" i="7"/>
  <c r="W355" i="7" s="1"/>
  <c r="V356" i="7"/>
  <c r="X356" i="7" s="1"/>
  <c r="U356" i="7"/>
  <c r="W356" i="7" s="1"/>
  <c r="V357" i="7"/>
  <c r="X357" i="7" s="1"/>
  <c r="U357" i="7"/>
  <c r="W357" i="7" s="1"/>
  <c r="V360" i="7"/>
  <c r="X360" i="7" s="1"/>
  <c r="U360" i="7"/>
  <c r="W360" i="7" s="1"/>
  <c r="V361" i="7"/>
  <c r="X361" i="7" s="1"/>
  <c r="U361" i="7"/>
  <c r="W361" i="7" s="1"/>
  <c r="V366" i="7"/>
  <c r="X366" i="7" s="1"/>
  <c r="U366" i="7"/>
  <c r="W366" i="7" s="1"/>
  <c r="V371" i="7"/>
  <c r="X371" i="7" s="1"/>
  <c r="U371" i="7"/>
  <c r="W371" i="7" s="1"/>
  <c r="V396" i="7"/>
  <c r="X396" i="7" s="1"/>
  <c r="U396" i="7"/>
  <c r="W396" i="7" s="1"/>
  <c r="V399" i="7"/>
  <c r="X399" i="7" s="1"/>
  <c r="U399" i="7"/>
  <c r="W399" i="7" s="1"/>
  <c r="V400" i="7"/>
  <c r="X400" i="7" s="1"/>
  <c r="U400" i="7"/>
  <c r="W400" i="7" s="1"/>
  <c r="V401" i="7"/>
  <c r="X401" i="7" s="1"/>
  <c r="U401" i="7"/>
  <c r="W401" i="7" s="1"/>
  <c r="V402" i="7"/>
  <c r="X402" i="7" s="1"/>
  <c r="U402" i="7"/>
  <c r="W402" i="7" s="1"/>
  <c r="V403" i="7"/>
  <c r="X403" i="7" s="1"/>
  <c r="U403" i="7"/>
  <c r="W403" i="7" s="1"/>
  <c r="V404" i="7"/>
  <c r="X404" i="7" s="1"/>
  <c r="U404" i="7"/>
  <c r="W404" i="7" s="1"/>
  <c r="V408" i="7"/>
  <c r="X408" i="7" s="1"/>
  <c r="U408" i="7"/>
  <c r="W408" i="7" s="1"/>
  <c r="V410" i="7"/>
  <c r="X410" i="7" s="1"/>
  <c r="U410" i="7"/>
  <c r="W410" i="7" s="1"/>
  <c r="V415" i="7"/>
  <c r="X415" i="7" s="1"/>
  <c r="U415" i="7"/>
  <c r="W415" i="7" s="1"/>
  <c r="V418" i="7"/>
  <c r="X418" i="7" s="1"/>
  <c r="U418" i="7"/>
  <c r="W418" i="7" s="1"/>
  <c r="V421" i="7"/>
  <c r="X421" i="7" s="1"/>
  <c r="U421" i="7"/>
  <c r="W421" i="7" s="1"/>
  <c r="V425" i="7"/>
  <c r="X425" i="7" s="1"/>
  <c r="U425" i="7"/>
  <c r="W425" i="7" s="1"/>
  <c r="V427" i="7"/>
  <c r="X427" i="7" s="1"/>
  <c r="U427" i="7"/>
  <c r="W427" i="7" s="1"/>
  <c r="V475" i="7"/>
  <c r="X475" i="7" s="1"/>
  <c r="U475" i="7"/>
  <c r="W475" i="7" s="1"/>
  <c r="V481" i="7"/>
  <c r="X481" i="7" s="1"/>
  <c r="U481" i="7"/>
  <c r="W481" i="7" s="1"/>
  <c r="V478" i="7"/>
  <c r="X478" i="7" s="1"/>
  <c r="U478" i="7"/>
  <c r="W478" i="7" s="1"/>
  <c r="A420" i="10"/>
  <c r="A3" i="10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421" i="10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18" i="10" l="1"/>
  <c r="A19" i="10" s="1"/>
  <c r="A20" i="10" s="1"/>
  <c r="A21" i="10" s="1"/>
  <c r="A22" i="10" l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</calcChain>
</file>

<file path=xl/sharedStrings.xml><?xml version="1.0" encoding="utf-8"?>
<sst xmlns="http://schemas.openxmlformats.org/spreadsheetml/2006/main" count="2049" uniqueCount="530">
  <si>
    <t>#</t>
  </si>
  <si>
    <t>////PR:Music_SP:David20171020     $1054  _x001E_</t>
  </si>
  <si>
    <t>//PR:Books__SP:Barney20171027     $699     _x001C_</t>
  </si>
  <si>
    <t>/PR:Music___SP:Carol20171031  $1305   _x001C_</t>
  </si>
  <si>
    <t>//PR:Games__SP:David20171027   $0 _x001D_</t>
  </si>
  <si>
    <t>//PR:Books___SP:Barney20171026     $740    _x001D_</t>
  </si>
  <si>
    <t>////PR:Clothing__SP:David20171011  $811    _x001F_</t>
  </si>
  <si>
    <t>/////PR:Clothing_____SP:David20171029   $1175 _x001D_</t>
  </si>
  <si>
    <t>////PR:Books____SP:Alice20171013   $586  _x001E_</t>
  </si>
  <si>
    <t>////PR:Music__SP:David20171015     $1202 _x001D_</t>
  </si>
  <si>
    <t>/////PR:Games___SP:David20171022 $0   _x001E_</t>
  </si>
  <si>
    <t>/////PR:Books_____SP:Alice2017101     $597   _x001E_</t>
  </si>
  <si>
    <t>/////PR:Music__SP:Alice20171031   $1142 _x001D_</t>
  </si>
  <si>
    <t>/PR:Clothing_SP:Carol20171025   $1213  _x001E_</t>
  </si>
  <si>
    <t>/////PR:Games_____SP:Alice20171021 $0     _x001C_</t>
  </si>
  <si>
    <t>///PR:Clothing_SP:David20171013   $0    _x001F_</t>
  </si>
  <si>
    <t>/////PR:Books_SP:Carol2017103  $721    _x001C_</t>
  </si>
  <si>
    <t>////PR:Clothing__SP:Carol20171026   $0 _x001E_</t>
  </si>
  <si>
    <t>////PR:Clothing___SP:Barney20171016    $945 _x001F_</t>
  </si>
  <si>
    <t>//PR:Clothing__SP:Barney20171025 $801  _x001C_</t>
  </si>
  <si>
    <t>/////PR:Books_SP:David2017109     $866    _x001D_</t>
  </si>
  <si>
    <t>/////PR:Books__SP:David20171017  $0  _x001D_</t>
  </si>
  <si>
    <t>/PR:Clothing___SP:David2017104  $1574    _x001F_</t>
  </si>
  <si>
    <t>////PR:Music__SP:Barney2017108 $0 _x001F_</t>
  </si>
  <si>
    <t>///PR:Books___SP:Carol20171023 $0   _x001E_</t>
  </si>
  <si>
    <t>//PR:Games__SP:Alice20171011 $1326  _x001C_</t>
  </si>
  <si>
    <t>/////PR:Clothing_SP:David20171026  $1044 _x001E_</t>
  </si>
  <si>
    <t>//PR:Books_SP:Carol2017102  $0  _x001D_</t>
  </si>
  <si>
    <t>/PR:Books_____SP:Carol2017104 $718    _x001D_</t>
  </si>
  <si>
    <t>//PR:Games__SP:Alice20171027     $1683     _x001E_</t>
  </si>
  <si>
    <t>////PR:Clothing__SP:Carol20171017     $794   _x001E_</t>
  </si>
  <si>
    <t>///PR:Games____SP:Alice20171023  $1747   _x001F_</t>
  </si>
  <si>
    <t>/////PR:Games____SP:David2017107    $1489    _x001E_</t>
  </si>
  <si>
    <t>//PR:Clothing_____SP:Carol20171024     $681     _x001D_</t>
  </si>
  <si>
    <t>/PR:Clothing_SP:Carol20171030   $0     _x001E_</t>
  </si>
  <si>
    <t>//PR:Music____SP:Alice20171020  $0    _x001D_</t>
  </si>
  <si>
    <t>//PR:Books__SP:David20171021    $960    _x001C_</t>
  </si>
  <si>
    <t>/PR:Books_____SP:Carol20171030   $731   _x001E_</t>
  </si>
  <si>
    <t>/////PR:Games_____SP:David2017102   $2153    _x001E_</t>
  </si>
  <si>
    <t>////PR:Music_SP:Alice20171011  $0    _x001F_</t>
  </si>
  <si>
    <t>////PR:Books_____SP:Carol20171015   $754   _x001F_</t>
  </si>
  <si>
    <t>/////PR:Music____SP:Carol20171012  $0  _x001D_</t>
  </si>
  <si>
    <t>///PR:Clothing_SP:Barney2017109  $1944    _x001F_</t>
  </si>
  <si>
    <t>/PR:Clothing__SP:Carol20171014     $808   _x001D_</t>
  </si>
  <si>
    <t>/////PR:Clothing___SP:Carol20171010    $1732   _x001E_</t>
  </si>
  <si>
    <t>//PR:Games____SP:Barney20171018 $2493  _x001C_</t>
  </si>
  <si>
    <t>/PR:Music_SP:Barney2017109    $0  _x001E_</t>
  </si>
  <si>
    <t>/////PR:Music___SP:Barney20171027    $0     _x001E_</t>
  </si>
  <si>
    <t>/////PR:Games___SP:Carol20171024     $1893  _x001C_</t>
  </si>
  <si>
    <t>////PR:Music_SP:David20171027    $1303    _x001C_</t>
  </si>
  <si>
    <t>//PR:Clothing___SP:Alice2017105 $1991     _x001C_</t>
  </si>
  <si>
    <t>/PR:Music__SP:David20171026 $1288  _x001F_</t>
  </si>
  <si>
    <t>//PR:Clothing____SP:Alice20171018 $1757 _x001D_</t>
  </si>
  <si>
    <t>///PR:Games____SP:Alice20171025    $2406   _x001D_</t>
  </si>
  <si>
    <t>////PR:Music___SP:Barney20171031    $1155 _x001C_</t>
  </si>
  <si>
    <t>/////PR:Games_SP:Carol20171020  $1107    _x001C_</t>
  </si>
  <si>
    <t>//PR:Clothing_SP:Alice20171015    $1986     _x001C_</t>
  </si>
  <si>
    <t>////PR:Books_____SP:David20171010     $987  _x001F_</t>
  </si>
  <si>
    <t>///PR:Games____SP:David20171015    $0 _x001F_</t>
  </si>
  <si>
    <t>/////PR:Music___SP:David2017108 $1355   _x001F_</t>
  </si>
  <si>
    <t>////PR:Games__SP:David20171026    $1466    _x001C_</t>
  </si>
  <si>
    <t>/PR:Books_____SP:Carol2017108     $591   _x001F_</t>
  </si>
  <si>
    <t>////PR:Books___SP:David20171019 $564   _x001F_</t>
  </si>
  <si>
    <t>////PR:Clothing_____SP:Barney20171020   $1875  _x001F_</t>
  </si>
  <si>
    <t>////PR:Games_____SP:Barney20171024  $0    _x001E_</t>
  </si>
  <si>
    <t>/PR:Clothing_____SP:David2017107  $1564   _x001E_</t>
  </si>
  <si>
    <t>///PR:Games___SP:Carol2017107   $0     _x001E_</t>
  </si>
  <si>
    <t>/////PR:Books_____SP:Carol20171019  $0     _x001F_</t>
  </si>
  <si>
    <t>////PR:Games____SP:Carol20171010 $0    _x001D_</t>
  </si>
  <si>
    <t>/////PR:Music___SP:Barney20171020   $0 _x001F_</t>
  </si>
  <si>
    <t>/PR:Books__SP:Carol20171021 $582  _x001E_</t>
  </si>
  <si>
    <t>/////PR:Clothing____SP:Carol20171013   $0   _x001E_</t>
  </si>
  <si>
    <t>///PR:Games___SP:Carol2017109  $893   _x001D_</t>
  </si>
  <si>
    <t>//PR:Music_____SP:Alice20171012  $1447     _x001D_</t>
  </si>
  <si>
    <t>/////PR:Clothing_____SP:Barney20171024    $1395     _x001D_</t>
  </si>
  <si>
    <t>//PR:Clothing_____SP:Alice20171025     $729  _x001C_</t>
  </si>
  <si>
    <t>////PR:Clothing___SP:Carol2017104     $819   _x001E_</t>
  </si>
  <si>
    <t>/PR:Clothing__SP:David20171024     $0   _x001C_</t>
  </si>
  <si>
    <t>///PR:Games__SP:David20171025     $1409     _x001C_</t>
  </si>
  <si>
    <t>/////PR:Games____SP:David20171028    $1628   _x001D_</t>
  </si>
  <si>
    <t>/PR:Music_SP:David20171030 $0  _x001F_</t>
  </si>
  <si>
    <t>//PR:Games___SP:Alice20171030 $1228 _x001C_</t>
  </si>
  <si>
    <t>////PR:Music_____SP:Carol20171018   $1232    _x001C_</t>
  </si>
  <si>
    <t>///PR:Clothing___SP:Barney20171029   $754 _x001C_</t>
  </si>
  <si>
    <t>//PR:Clothing_____SP:Carol20171023     $1234     _x001E_</t>
  </si>
  <si>
    <t>////PR:Music_____SP:Barney2017102    $927     _x001D_</t>
  </si>
  <si>
    <t>//PR:Clothing_SP:Barney2017107 $1419 _x001F_</t>
  </si>
  <si>
    <t>////PR:Games___SP:Barney20171022     $2167  _x001D_</t>
  </si>
  <si>
    <t>/////PR:Games____SP:Barney20171014   $1771  _x001D_</t>
  </si>
  <si>
    <t>/////PR:Games__SP:Barney2017109     $0 _x001F_</t>
  </si>
  <si>
    <t>/////PR:Clothing____SP:Alice2017101     $0    _x001D_</t>
  </si>
  <si>
    <t>/PR:Books__SP:Barney20171015  $0  _x001E_</t>
  </si>
  <si>
    <t>/////PR:Clothing___SP:Carol20171012  $1973  _x001F_</t>
  </si>
  <si>
    <t>///PR:Music__SP:David20171028     $941 _x001E_</t>
  </si>
  <si>
    <t>/////PR:Books_____SP:Carol20171028   $671   _x001F_</t>
  </si>
  <si>
    <t>///PR:Clothing____SP:Barney20171015    $1743 _x001D_</t>
  </si>
  <si>
    <t>/////PR:Games_SP:David20171017 $963    _x001E_</t>
  </si>
  <si>
    <t>//PR:Games__SP:Alice20171022     $0     _x001F_</t>
  </si>
  <si>
    <t>/PR:Books___SP:Barney20171023 $881    _x001C_</t>
  </si>
  <si>
    <t>/////PR:Games__SP:Carol20171025 $2083     _x001E_</t>
  </si>
  <si>
    <t>///PR:Clothing___SP:Carol2017108     $772   _x001E_</t>
  </si>
  <si>
    <t>/PR:Books___SP:Barney20171010   $725 _x001F_</t>
  </si>
  <si>
    <t>/PR:Music_SP:Barney20171029   $0 _x001E_</t>
  </si>
  <si>
    <t>////PR:Games__SP:Barney2017107 $1117    _x001E_</t>
  </si>
  <si>
    <t>////PR:Music___SP:Barney2017105   $1492  _x001F_</t>
  </si>
  <si>
    <t>/PR:Books_SP:Carol20171012    $500 _x001C_</t>
  </si>
  <si>
    <t>/////PR:Books_____SP:David20171024     $528  _x001E_</t>
  </si>
  <si>
    <t>//PR:Books_SP:David20171020    $825 _x001E_</t>
  </si>
  <si>
    <t>////PR:Games__SP:Barney20171026    $1752  _x001D_</t>
  </si>
  <si>
    <t>/////PR:Games__SP:Barney20171010     $1954     _x001E_</t>
  </si>
  <si>
    <t>/PR:Music_____SP:David20171025   $1179    _x001C_</t>
  </si>
  <si>
    <t>//PR:Clothing_SP:Barney2017106     $883  _x001C_</t>
  </si>
  <si>
    <t>/////PR:Games_____SP:Alice20171010     $2259    _x001D_</t>
  </si>
  <si>
    <t>///PR:Music_____SP:David20171024 $965  _x001F_</t>
  </si>
  <si>
    <t>//PR:Books__SP:Alice2017103     $0     _x001E_</t>
  </si>
  <si>
    <t>////PR:Books_____SP:Carol20171029   $697    _x001D_</t>
  </si>
  <si>
    <t>/////PR:Clothing_____SP:Carol20171029  $1227  _x001C_</t>
  </si>
  <si>
    <t>/PR:Music_____SP:Carol2017103  $1061    _x001D_</t>
  </si>
  <si>
    <t>//PR:Music_____SP:Barney20171028    $925 _x001E_</t>
  </si>
  <si>
    <t>/////PR:Games__SP:David2017108   $2271    _x001F_</t>
  </si>
  <si>
    <t>/PR:Music_____SP:Barney2017103    $1170   _x001D_</t>
  </si>
  <si>
    <t>/////PR:Clothing_SP:David20171027    $1154   _x001E_</t>
  </si>
  <si>
    <t>/////PR:Books___SP:David20171016  $598   _x001C_</t>
  </si>
  <si>
    <t>///PR:Games___SP:Alice20171016  $1101     _x001C_</t>
  </si>
  <si>
    <t>///PR:Books____SP:Barney20171028    $905 _x001C_</t>
  </si>
  <si>
    <t>////PR:Books____SP:Barney2017104    $818  _x001D_</t>
  </si>
  <si>
    <t>/PR:Games____SP:David2017104     $0   _x001C_</t>
  </si>
  <si>
    <t>//PR:Books___SP:Alice20171017  $820     _x001E_</t>
  </si>
  <si>
    <t>/PR:Games__SP:Carol2017103 $2228   _x001C_</t>
  </si>
  <si>
    <t>///PR:Games____SP:David20171012    $0  _x001F_</t>
  </si>
  <si>
    <t>///PR:Books____SP:Carol2017109  $970     _x001D_</t>
  </si>
  <si>
    <t>//PR:Games_____SP:David2017103    $944  _x001F_</t>
  </si>
  <si>
    <t>/PR:Music___SP:Barney20171026   $1404    _x001D_</t>
  </si>
  <si>
    <t>/////PR:Clothing_____SP:Alice20171030    $1305     _x001C_</t>
  </si>
  <si>
    <t>///PR:Games_____SP:David20171020  $869   _x001D_</t>
  </si>
  <si>
    <t>/////PR:Clothing__SP:Carol2017102     $0   _x001D_</t>
  </si>
  <si>
    <t>///PR:Games_SP:Barney20171025 $0   _x001E_</t>
  </si>
  <si>
    <t>////PR:Books___SP:Carol20171014   $0  _x001C_</t>
  </si>
  <si>
    <t>////PR:Music___SP:Alice2017104    $1461     _x001D_</t>
  </si>
  <si>
    <t>//PR:Books____SP:Barney20171011    $999     _x001E_</t>
  </si>
  <si>
    <t>/////PR:Books__SP:Barney20171022     $510    _x001E_</t>
  </si>
  <si>
    <t>////PR:Music____SP:Alice20171013 $1103    _x001E_</t>
  </si>
  <si>
    <t>////PR:Music____SP:Carol20171016     $1412   _x001D_</t>
  </si>
  <si>
    <t>////PR:Books_SP:Barney20171016     $0 _x001F_</t>
  </si>
  <si>
    <t>//PR:Books__SP:Alice2017108   $763 _x001D_</t>
  </si>
  <si>
    <t>///PR:Clothing___SP:Barney20171011     $1419  _x001F_</t>
  </si>
  <si>
    <t>/PR:Books_SP:Alice20171031 $906     _x001E_</t>
  </si>
  <si>
    <t>///PR:Books___SP:Carol20171010  $725 _x001F_</t>
  </si>
  <si>
    <t>////PR:Clothing__SP:Carol20171015  $1304    _x001F_</t>
  </si>
  <si>
    <t>//PR:Games_____SP:Carol20171026   $1050    _x001C_</t>
  </si>
  <si>
    <t>/////PR:Books_SP:David2017103   $765 _x001F_</t>
  </si>
  <si>
    <t>//PR:Music__SP:Barney2017101  $1272   _x001D_</t>
  </si>
  <si>
    <t>//PR:Music_SP:David2017107  $1424    _x001E_</t>
  </si>
  <si>
    <t>/////PR:Music____SP:Alice2017105 $1047     _x001D_</t>
  </si>
  <si>
    <t>////PR:Games_SP:Carol2017101    $1451   _x001D_</t>
  </si>
  <si>
    <t>/////PR:Clothing___SP:Barney20171010    $667   _x001C_</t>
  </si>
  <si>
    <t>///PR:Books_____SP:Carol2017101     $670    _x001D_</t>
  </si>
  <si>
    <t>//PR:Books____SP:David2017104  $729   _x001F_</t>
  </si>
  <si>
    <t>/////PR:Clothing_____SP:Carol20171021  $1864     _x001F_</t>
  </si>
  <si>
    <t>////PR:Books__SP:Carol20171013    $0   _x001E_</t>
  </si>
  <si>
    <t>//PR:Clothing_____SP:Carol20171019  $0  _x001F_</t>
  </si>
  <si>
    <t>/PR:Clothing____SP:David20171028   $850     _x001F_</t>
  </si>
  <si>
    <t>/PR:Games__SP:Carol20171015     $1500    _x001F_</t>
  </si>
  <si>
    <t>//PR:Music_SP:Carol20171011    $0 _x001C_</t>
  </si>
  <si>
    <t>/PR:Music___SP:Barney2017104   $1242    _x001E_</t>
  </si>
  <si>
    <t>////PR:Music___SP:Carol20171024 $0   _x001E_</t>
  </si>
  <si>
    <t>/////PR:Books___SP:David20171023  $804     _x001F_</t>
  </si>
  <si>
    <t>/PR:Clothing_____SP:Barney20171018     $615    _x001C_</t>
  </si>
  <si>
    <t>//PR:Books___SP:Barney2017106 $0   _x001F_</t>
  </si>
  <si>
    <t>///PR:Games___SP:Carol20171016  $1900  _x001F_</t>
  </si>
  <si>
    <t>///PR:Clothing_____SP:Alice2017102  $1657 _x001D_</t>
  </si>
  <si>
    <t>/PR:Clothing___SP:Alice20171026    $1243    _x001E_</t>
  </si>
  <si>
    <t>/PR:Clothing____SP:Barney2017103 $0  _x001C_</t>
  </si>
  <si>
    <t>////PR:Games____SP:Carol20171022     $1616   _x001D_</t>
  </si>
  <si>
    <t>/PR:Music_____SP:David2017105 $1136   _x001C_</t>
  </si>
  <si>
    <t>///PR:Clothing__SP:Alice20171014  $1671  _x001F_</t>
  </si>
  <si>
    <t>/////PR:Books___SP:Alice2017109    $640   _x001D_</t>
  </si>
  <si>
    <t>//PR:Music___SP:Carol20171022 $952    _x001F_</t>
  </si>
  <si>
    <t>/////PR:Games____SP:Barney20171011   $1198    _x001C_</t>
  </si>
  <si>
    <t>////PR:Music__SP:Barney20171015   $1291  _x001C_</t>
  </si>
  <si>
    <t>///PR:Games___SP:Carol20171021     $1037 _x001F_</t>
  </si>
  <si>
    <t>///PR:Clothing_____SP:Barney20171027  $1105    _x001C_</t>
  </si>
  <si>
    <t>///PR:Books_SP:Carol20171024     $767     _x001C_</t>
  </si>
  <si>
    <t>////PR:Clothing____SP:Alice2017103    $1121     _x001D_</t>
  </si>
  <si>
    <t>//PR:Music_SP:Barney20171012  $914  _x001C_</t>
  </si>
  <si>
    <t>///PR:Clothing_____SP:David2017108   $1631  _x001D_</t>
  </si>
  <si>
    <t>////PR:Games_SP:Barney2017104 $0  _x001F_</t>
  </si>
  <si>
    <t>////PR:Games__SP:David20171021     $1916   _x001D_</t>
  </si>
  <si>
    <t>/PR:Games_SP:Alice2017106   $2406 _x001F_</t>
  </si>
  <si>
    <t>/////PR:Games____SP:Carol20171012    $1878   _x001D_</t>
  </si>
  <si>
    <t>////PR:Games____SP:David20171019 $0     _x001D_</t>
  </si>
  <si>
    <t>/////PR:Music__SP:Carol20171015    $1360   _x001D_</t>
  </si>
  <si>
    <t>/PR:Music____SP:Carol20171014     $0  _x001C_</t>
  </si>
  <si>
    <t>//PR:Books_____SP:Barney2017105   $844   _x001E_</t>
  </si>
  <si>
    <t>/////PR:Clothing__SP:David20171020  $1172     _x001C_</t>
  </si>
  <si>
    <t>///PR:Books____SP:Alice20171030 $0    _x001D_</t>
  </si>
  <si>
    <t>/PR:Music___SP:Alice2017107    $924 _x001E_</t>
  </si>
  <si>
    <t>/////PR:Games__SP:Barney2017102     $2368 _x001E_</t>
  </si>
  <si>
    <t>////PR:Games____SP:Carol20171018 $1616    _x001E_</t>
  </si>
  <si>
    <t>//PR:Music_____SP:David20171012     $1445  _x001D_</t>
  </si>
  <si>
    <t>/PR:Music___SP:Carol20171030  $1133   _x001E_</t>
  </si>
  <si>
    <t>/////PR:Clothing___SP:Carol2017105     $0     _x001C_</t>
  </si>
  <si>
    <t>///PR:Clothing__SP:Alice20171031     $874 _x001F_</t>
  </si>
  <si>
    <t>//PR:Music___SP:Carol2017108     $1003   _x001F_</t>
  </si>
  <si>
    <t>///PR:Books__SP:David20171012     $688  _x001E_</t>
  </si>
  <si>
    <t>//PR:Clothing_____SP:Carol20171022  $1334     _x001E_</t>
  </si>
  <si>
    <t>/PR:Books_SP:Alice20171014     $552  _x001E_</t>
  </si>
  <si>
    <t>////PR:Books_____SP:Carol20171011     $776   _x001F_</t>
  </si>
  <si>
    <t>/PR:Games__SP:Barney20171028    $1261    _x001E_</t>
  </si>
  <si>
    <t>////PR:Music____SP:David20171022   $1437 _x001E_</t>
  </si>
  <si>
    <t>/PR:Clothing__SP:David20171025 $0     _x001C_</t>
  </si>
  <si>
    <t>///PR:Games_SP:David20171031    $1562  _x001E_</t>
  </si>
  <si>
    <t>/PR:Music___SP:Alice20171021 $1342    _x001D_</t>
  </si>
  <si>
    <t>////PR:Music__SP:David2017103     $0 _x001F_</t>
  </si>
  <si>
    <t>/PR:Games____SP:Alice20171017     $892 _x001F_</t>
  </si>
  <si>
    <t>//PR:Music_SP:Alice20171014    $1236    _x001E_</t>
  </si>
  <si>
    <t>/PR:Games____SP:Carol20171019    $1289  _x001D_</t>
  </si>
  <si>
    <t>/////PR:Clothing___SP:David20171016   $1414    _x001D_</t>
  </si>
  <si>
    <t>/PR:Music__SP:Barney2017107     $984   _x001D_</t>
  </si>
  <si>
    <t>//PR:Music__SP:Alice20171030     $0   _x001E_</t>
  </si>
  <si>
    <t>////PR:Books_SP:David20171013   $0   _x001C_</t>
  </si>
  <si>
    <t>///PR:Clothing_SP:Barney2017108    $718  _x001F_</t>
  </si>
  <si>
    <t>/////PR:Music_SP:Alice2017103   $0 _x001D_</t>
  </si>
  <si>
    <t>//PR:Music___SP:Alice2017102  $975 _x001C_</t>
  </si>
  <si>
    <t>///PR:Clothing_SP:David20171010     $1545   _x001D_</t>
  </si>
  <si>
    <t>///PR:Music___SP:David2017106     $0 _x001F_</t>
  </si>
  <si>
    <t>/////PR:Music__SP:Alice2017101  $0  _x001C_</t>
  </si>
  <si>
    <t>///PR:Games____SP:David20171029  $0  _x001C_</t>
  </si>
  <si>
    <t>/////PR:Books___SP:Alice20171012    $743  _x001C_</t>
  </si>
  <si>
    <t>////PR:Music_SP:Alice2017109    $1347 _x001F_</t>
  </si>
  <si>
    <t>/////PR:Books___SP:Alice20171021     $875    _x001E_</t>
  </si>
  <si>
    <t>////PR:Games____SP:Carol20171014    $2331   _x001F_</t>
  </si>
  <si>
    <t>///PR:Books_SP:Barney20171031  $0     _x001F_</t>
  </si>
  <si>
    <t>//PR:Clothing_SP:Alice2017107    $1182  _x001C_</t>
  </si>
  <si>
    <t>////PR:Books__SP:Alice20171011 $675    _x001E_</t>
  </si>
  <si>
    <t>//PR:Music_____SP:Barney20171025 $981  _x001F_</t>
  </si>
  <si>
    <t>//PR:Clothing_____SP:Alice20171013     $1693  _x001F_</t>
  </si>
  <si>
    <t>////PR:Music___SP:Alice20171015  $1499  _x001F_</t>
  </si>
  <si>
    <t>////PR:Clothing____SP:Carol20171028  $1774    _x001E_</t>
  </si>
  <si>
    <t>/////PR:Music_____SP:Carol2017106    $1256     _x001F_</t>
  </si>
  <si>
    <t>////PR:Games_____SP:Carol20171028   $1298     _x001C_</t>
  </si>
  <si>
    <t>/////PR:Games__SP:Barney20171021  $0 _x001C_</t>
  </si>
  <si>
    <t>/PR:Books__SP:Carol2017106  $0    _x001E_</t>
  </si>
  <si>
    <t>////PR:Clothing_____SP:Carol2017109 $987  _x001F_</t>
  </si>
  <si>
    <t>///PR:Music____SP:David20171013  $1454    _x001C_</t>
  </si>
  <si>
    <t>/////PR:Games___SP:Carol20171029 $0 _x001F_</t>
  </si>
  <si>
    <t>/////PR:Games_SP:Carol20171030   $803  _x001D_</t>
  </si>
  <si>
    <t>///PR:Games_SP:Barney2017105 $0    _x001F_</t>
  </si>
  <si>
    <t>////PR:Clothing_____SP:Barney20171030  $0 _x001C_</t>
  </si>
  <si>
    <t>///PR:Music___SP:Barney20171030 $1227  _x001E_</t>
  </si>
  <si>
    <t>/////PR:Music____SP:Alice20171027   $1325   _x001C_</t>
  </si>
  <si>
    <t>////PR:Clothing_____SP:David20171018   $0     _x001F_</t>
  </si>
  <si>
    <t>////PR:Games_____SP:Alice20171024   $1035  _x001F_</t>
  </si>
  <si>
    <t>///PR:Books___SP:David20171030 $553 _x001C_</t>
  </si>
  <si>
    <t>//PR:Music___SP:Barney20171021 $1139 _x001C_</t>
  </si>
  <si>
    <t>/////PR:Games__SP:Barney20171029   $0     _x001C_</t>
  </si>
  <si>
    <t>//PR:Music_SP:Carol20171026     $0    _x001D_</t>
  </si>
  <si>
    <t>////PR:Books____SP:Barney20171013 $922    _x001F_</t>
  </si>
  <si>
    <t>/////PR:Books____SP:Alice20171029  $933   _x001F_</t>
  </si>
  <si>
    <t>///PR:Music____SP:Carol2017101   $902 _x001D_</t>
  </si>
  <si>
    <t>//PR:Books___SP:Barney2017102  $885 _x001C_</t>
  </si>
  <si>
    <t>/////PR:Clothing___SP:Barney20171031     $0  _x001D_</t>
  </si>
  <si>
    <t>/PR:Clothing___SP:Alice20171016  $0    _x001F_</t>
  </si>
  <si>
    <t>/////PR:Music___SP:David20171010 $1040 _x001E_</t>
  </si>
  <si>
    <t>////PR:Clothing_____SP:Carol20171031  $0    _x001D_</t>
  </si>
  <si>
    <t>////PR:Games_____SP:Carol2017105 $2347     _x001D_</t>
  </si>
  <si>
    <t>/////PR:Games_____SP:Alice20171019  $1388   _x001D_</t>
  </si>
  <si>
    <t>/PR:Clothing____SP:David2017102 $0   _x001F_</t>
  </si>
  <si>
    <t>//PR:Clothing_____SP:Barney2017104    $1992  _x001E_</t>
  </si>
  <si>
    <t>/PR:Games__SP:David20171014    $1110   _x001F_</t>
  </si>
  <si>
    <t>//PR:Music_____SP:David2017102    $1315 _x001F_</t>
  </si>
  <si>
    <t>/////PR:Clothing_____SP:David20171014     $962     _x001D_</t>
  </si>
  <si>
    <t>/PR:Clothing____SP:David20171012  $1066     _x001E_</t>
  </si>
  <si>
    <t>///PR:Books_SP:David20171025    $749 _x001D_</t>
  </si>
  <si>
    <t>/////PR:Clothing__SP:Carol2017107 $1535     _x001F_</t>
  </si>
  <si>
    <t>/PR:Music___SP:Alice20171026   $1330   _x001E_</t>
  </si>
  <si>
    <t>/PR:Games__SP:Carol20171011 $0    _x001E_</t>
  </si>
  <si>
    <t>/////PR:Games___SP:David2017106  $1248   _x001D_</t>
  </si>
  <si>
    <t>//PR:Clothing__SP:David2017106     $1106 _x001F_</t>
  </si>
  <si>
    <t>//PR:Games____SP:Alice20171029     $1164    _x001D_</t>
  </si>
  <si>
    <t>//PR:Games____SP:Barney2017106  $0 _x001F_</t>
  </si>
  <si>
    <t>////PR:Games___SP:David20171030   $1281  _x001D_</t>
  </si>
  <si>
    <t>///PR:Music_SP:Alice20171019    $0     _x001E_</t>
  </si>
  <si>
    <t>//PR:Clothing_SP:Alice20171027   $0    _x001F_</t>
  </si>
  <si>
    <t>//PR:Books_____SP:David20171027     $0    _x001F_</t>
  </si>
  <si>
    <t>//PR:Clothing____SP:Alice2017104     $1616 _x001E_</t>
  </si>
  <si>
    <t>////PR:Games_SP:Alice20171020    $2087 _x001E_</t>
  </si>
  <si>
    <t>///PR:Books____SP:Alice20171024  $762   _x001E_</t>
  </si>
  <si>
    <t>/////PR:Clothing____SP:Barney20171023     $0 _x001C_</t>
  </si>
  <si>
    <t>////PR:Books_SP:Barney2017103    $0  _x001C_</t>
  </si>
  <si>
    <t>//PR:Books__SP:David20171028    $904   _x001C_</t>
  </si>
  <si>
    <t>//PR:Books__SP:Alice20171010     $0 _x001F_</t>
  </si>
  <si>
    <t>///PR:Games___SP:Barney20171015 $0    _x001D_</t>
  </si>
  <si>
    <t>////PR:Books__SP:David2017106 $523  _x001D_</t>
  </si>
  <si>
    <t>////PR:Clothing_SP:Carol20171018  $905     _x001C_</t>
  </si>
  <si>
    <t>/PR:Clothing____SP:Alice20171021  $834   _x001C_</t>
  </si>
  <si>
    <t>////PR:Clothing__SP:Barney20171017   $1740   _x001F_</t>
  </si>
  <si>
    <t>//PR:Music_SP:Carol20171013 $1143   _x001D_</t>
  </si>
  <si>
    <t>/////PR:Clothing__SP:Barney20171019    $0 _x001F_</t>
  </si>
  <si>
    <t>//PR:Music__SP:Barney20171023  $984     _x001D_</t>
  </si>
  <si>
    <t>//PR:Books__SP:Barney20171019 $604    _x001F_</t>
  </si>
  <si>
    <t>//PR:Games_____SP:Barney20171013   $1349    _x001D_</t>
  </si>
  <si>
    <t>//PR:Books_SP:David20171015  $852  _x001E_</t>
  </si>
  <si>
    <t>/PR:Books__SP:Barney20171014 $621     _x001D_</t>
  </si>
  <si>
    <t>//PR:Books____SP:Alice20171026   $950  _x001C_</t>
  </si>
  <si>
    <t>////PR:Books_SP:Carol20171020 $713  _x001C_</t>
  </si>
  <si>
    <t>///PR:Clothing___SP:Barney2017105    $999 _x001D_</t>
  </si>
  <si>
    <t>//PR:Clothing____SP:Carol20171011     $1635     _x001F_</t>
  </si>
  <si>
    <t>////PR:Books_SP:Alice20171020 $940   _x001F_</t>
  </si>
  <si>
    <t>////PR:Music__SP:Alice20171018   $1071     _x001F_</t>
  </si>
  <si>
    <t>//PR:Music__SP:David2017104  $0   _x001F_</t>
  </si>
  <si>
    <t>////PR:Games____SP:David20171010  $1870  _x001E_</t>
  </si>
  <si>
    <t>///PR:Books__SP:Barney20171029 $764 _x001D_</t>
  </si>
  <si>
    <t>//PR:Clothing_____SP:David20171023   $1176 _x001D_</t>
  </si>
  <si>
    <t>/PR:Clothing___SP:Alice20171024    $681 _x001E_</t>
  </si>
  <si>
    <t>///PR:Music_____SP:Barney20171019    $1500  _x001C_</t>
  </si>
  <si>
    <t>/////PR:Music__SP:David20171029 $0     _x001E_</t>
  </si>
  <si>
    <t>//PR:Music__SP:Alice20171017     $0 _x001C_</t>
  </si>
  <si>
    <t>/////PR:Music_SP:Carol2017105     $1428  _x001D_</t>
  </si>
  <si>
    <t>///PR:Music____SP:Carol20171023     $968     _x001D_</t>
  </si>
  <si>
    <t>///PR:Games__SP:Alice20171026     $0    _x001F_</t>
  </si>
  <si>
    <t>////PR:Games_____SP:Barney20171016   $1522  _x001C_</t>
  </si>
  <si>
    <t>//PR:Music__SP:Carol20171019  $0 _x001F_</t>
  </si>
  <si>
    <t>//PR:Books____SP:Carol20171031  $900    _x001E_</t>
  </si>
  <si>
    <t>//PR:Music_____SP:Alice20171028     $0  _x001E_</t>
  </si>
  <si>
    <t>/PR:Books___SP:David2017107   $978    _x001E_</t>
  </si>
  <si>
    <t>/PR:Clothing__SP:Alice2017106    $680 _x001E_</t>
  </si>
  <si>
    <t>///PR:Games___SP:Barney20171017     $1489    _x001F_</t>
  </si>
  <si>
    <t>/////PR:Games____SP:Barney20171030     $0  _x001D_</t>
  </si>
  <si>
    <t>/PR:Books_SP:Alice20171023 $0    _x001E_</t>
  </si>
  <si>
    <t>////PR:Clothing__SP:David2017105 $0   _x001E_</t>
  </si>
  <si>
    <t>///PR:Books_SP:Alice2017105   $508 _x001F_</t>
  </si>
  <si>
    <t>/////PR:Clothing_____SP:Barney20171026  $1793   _x001F_</t>
  </si>
  <si>
    <t>/PR:Books_____SP:Barney2017107  $765    _x001D_</t>
  </si>
  <si>
    <t>//PR:Clothing_SP:Alice20171023  $1099    _x001F_</t>
  </si>
  <si>
    <t>////PR:Clothing_____SP:David2017101  $610     _x001E_</t>
  </si>
  <si>
    <t>//PR:Music__SP:Barney20171024  $1157     _x001E_</t>
  </si>
  <si>
    <t>///PR:Clothing_____SP:Barney20171022 $845  _x001C_</t>
  </si>
  <si>
    <t>/////PR:Games_SP:Barney20171031     $1381   _x001E_</t>
  </si>
  <si>
    <t>////PR:Games_SP:David2017109 $1960   _x001E_</t>
  </si>
  <si>
    <t>/////PR:Games_____SP:Barney2017103  $1957   _x001F_</t>
  </si>
  <si>
    <t>///PR:Music_SP:David20171031     $1247    _x001D_</t>
  </si>
  <si>
    <t>//PR:Games__SP:Barney2017108  $1478  _x001F_</t>
  </si>
  <si>
    <t>///PR:Games_____SP:Alice2017109  $0  _x001C_</t>
  </si>
  <si>
    <t>/////PR:Music_____SP:Carol20171028   $1137 _x001F_</t>
  </si>
  <si>
    <t>///PR:Clothing____SP:Carol2017106    $0   _x001F_</t>
  </si>
  <si>
    <t>////PR:Music_SP:Carol20171017    $1223     _x001D_</t>
  </si>
  <si>
    <t>/PR:Clothing___SP:Barney2017101   $732    _x001F_</t>
  </si>
  <si>
    <t>////PR:Clothing___SP:Carol20171020    $0     _x001F_</t>
  </si>
  <si>
    <t>//PR:Books___SP:Carol2017105    $619    _x001D_</t>
  </si>
  <si>
    <t>/PR:Clothing_SP:Alice20171019     $877  _x001F_</t>
  </si>
  <si>
    <t>///PR:Books_____SP:David20171031    $629   _x001D_</t>
  </si>
  <si>
    <t>///PR:Clothing____SP:Carol2017103     $1069 _x001D_</t>
  </si>
  <si>
    <t>////PR:Music__SP:Alice20171022    $1348  _x001F_</t>
  </si>
  <si>
    <t>//PR:Clothing_____SP:David20171017  $1475 _x001D_</t>
  </si>
  <si>
    <t>///PR:Music__SP:Carol20171021    $0 _x001E_</t>
  </si>
  <si>
    <t>///PR:Games___SP:Alice20171014   $2209     _x001D_</t>
  </si>
  <si>
    <t>/////PR:Games___SP:David20171024     $0    _x001E_</t>
  </si>
  <si>
    <t>////PR:Games____SP:Barney20171019 $0 _x001F_</t>
  </si>
  <si>
    <t>///PR:Games___SP:Carol2017106  $1733 _x001E_</t>
  </si>
  <si>
    <t>/////PR:Games__SP:David2017105    $1878     _x001E_</t>
  </si>
  <si>
    <t>//PR:Clothing___SP:Barney20171012    $925     _x001C_</t>
  </si>
  <si>
    <t>/PR:Books___SP:Barney2017101    $686    _x001F_</t>
  </si>
  <si>
    <t>/////PR:Clothing_____SP:David2017109     $1703   _x001D_</t>
  </si>
  <si>
    <t>///PR:Music_SP:David20171021   $1038 _x001C_</t>
  </si>
  <si>
    <t>////PR:Games__SP:David20171013 $1573    _x001F_</t>
  </si>
  <si>
    <t>//PR:Games____SP:Alice20171031     $1364 _x001F_</t>
  </si>
  <si>
    <t>/////PR:Clothing__SP:David20171015    $1281  _x001E_</t>
  </si>
  <si>
    <t>//PR:Books_____SP:David20171022     $996 _x001D_</t>
  </si>
  <si>
    <t>////PR:Music____SP:Alice2017108   $0    _x001D_</t>
  </si>
  <si>
    <t>/PR:Books_____SP:Carol20171027   $528  _x001C_</t>
  </si>
  <si>
    <t>///PR:Books_SP:Barney20171012    $789     _x001E_</t>
  </si>
  <si>
    <t>////PR:Games_SP:Alice2017103     $0 _x001C_</t>
  </si>
  <si>
    <t>//PR:Music_____SP:David20171011     $1306  _x001F_</t>
  </si>
  <si>
    <t>//PR:Clothing__SP:David20171031     $1389  _x001D_</t>
  </si>
  <si>
    <t>/////PR:Clothing_SP:Alice20171029    $1950  _x001D_</t>
  </si>
  <si>
    <t>///PR:Books_____SP:Alice20171016   $735 _x001E_</t>
  </si>
  <si>
    <t>///PR:Music____SP:Carol2017109  $1368  _x001E_</t>
  </si>
  <si>
    <t>//PR:Clothing_____SP:Alice20171010  $1069 _x001F_</t>
  </si>
  <si>
    <t>/////PR:Games_____SP:Barney2017101    $1477  _x001D_</t>
  </si>
  <si>
    <t>////PR:Books___SP:Barney20171018 $669  _x001E_</t>
  </si>
  <si>
    <t>///PR:Games_SP:Carol20171023  $2447    _x001D_</t>
  </si>
  <si>
    <t>/PR:Books___SP:David20171014  $0     _x001F_</t>
  </si>
  <si>
    <t>///PR:Games_SP:Barney20171023    $2144     _x001E_</t>
  </si>
  <si>
    <t>///PR:Books____SP:Alice20171022     $699  _x001D_</t>
  </si>
  <si>
    <t>///PR:Music_SP:David20171017     $0 _x001D_</t>
  </si>
  <si>
    <t>///PR:Music____SP:Barney20171013   $0   _x001D_</t>
  </si>
  <si>
    <t>/PR:Books_____SP:Carol20171017     $825     _x001C_</t>
  </si>
  <si>
    <t>////PR:Games__SP:Alice2017107     $0   _x001C_</t>
  </si>
  <si>
    <t>//PR:Games_____SP:David2017101    $1810     _x001E_</t>
  </si>
  <si>
    <t>/////PR:Books__SP:Carol20171026  $686   _x001E_</t>
  </si>
  <si>
    <t>////PR:Music_____SP:Carol2017104  $1025  _x001C_</t>
  </si>
  <si>
    <t>///PR:Games_SP:Carol2017102    $827     _x001D_</t>
  </si>
  <si>
    <t>/////PR:Books____SP:David20171018  $0  _x001C_</t>
  </si>
  <si>
    <t>///PR:Music_____SP:Barney20171022 $1291   _x001C_</t>
  </si>
  <si>
    <t>/////PR:Music___SP:Barney20171017   $1294   _x001D_</t>
  </si>
  <si>
    <t>/////PR:Music__SP:Alice20171010   $1098    _x001D_</t>
  </si>
  <si>
    <t>////PR:Books___SP:Alice2017104  $716  _x001D_</t>
  </si>
  <si>
    <t>///PR:Clothing____SP:Alice20171012 $0     _x001C_</t>
  </si>
  <si>
    <t>///PR:Clothing_SP:David20171019   $0  _x001F_</t>
  </si>
  <si>
    <t>//PR:Clothing_SP:Carol2017101 $988 _x001C_</t>
  </si>
  <si>
    <t>//PR:Music_SP:Barney20171010 $1140   _x001C_</t>
  </si>
  <si>
    <t>////PR:Books__SP:Alice20171019   $0  _x001C_</t>
  </si>
  <si>
    <t>/////PR:Music_SP:David20171018   $0 _x001F_</t>
  </si>
  <si>
    <t>/PR:Books_SP:David20171029  $0     _x001D_</t>
  </si>
  <si>
    <t>//PR:Clothing___SP:Barney20171028    $1976 _x001E_</t>
  </si>
  <si>
    <t>/////PR:Clothing_SP:David20171021    $847   _x001F_</t>
  </si>
  <si>
    <t>/////PR:Music_____SP:David20171014    $1203     _x001C_</t>
  </si>
  <si>
    <t>/PR:Music_____SP:David20171023     $0    _x001F_</t>
  </si>
  <si>
    <t>/PR:Music_____SP:Alice20171025     $1069 _x001F_</t>
  </si>
  <si>
    <t>/PR:Books_____SP:David20171026    $837  _x001E_</t>
  </si>
  <si>
    <t>//PR:Games___SP:Carol20171027     $2326   _x001E_</t>
  </si>
  <si>
    <t>////PR:Music__SP:Carol20171027   $1060   _x001C_</t>
  </si>
  <si>
    <t>/PR:Books_SP:David2017105 $540 _x001F_</t>
  </si>
  <si>
    <t>/////PR:Music_SP:Barney2017106   $973     _x001F_</t>
  </si>
  <si>
    <t>////PR:Games__SP:Alice20171018 $2109   _x001E_</t>
  </si>
  <si>
    <t>////PR:Books__SP:Carol20171016 $618     _x001E_</t>
  </si>
  <si>
    <t>/////PR:Clothing_SP:Carol20171016   $1602    _x001D_</t>
  </si>
  <si>
    <t>/////PR:Games__SP:Carol20171031   $0   _x001E_</t>
  </si>
  <si>
    <t>//PR:Games__SP:Carol2017104     $0 _x001E_</t>
  </si>
  <si>
    <t>/PR:Games_____SP:Carol20171013  $1546    _x001D_</t>
  </si>
  <si>
    <t>///PR:Games_____SP:Carol2017108  $2008  _x001C_</t>
  </si>
  <si>
    <t>////PR:Games_SP:Alice2017101 $2292  _x001E_</t>
  </si>
  <si>
    <t>/PR:Books_SP:Alice20171015    $952  _x001E_</t>
  </si>
  <si>
    <t>///PR:Books__SP:Alice2017102 $547   _x001D_</t>
  </si>
  <si>
    <t>///PR:Clothing__SP:David2017103 $1671 _x001F_</t>
  </si>
  <si>
    <t>/////PR:Music__SP:Carol2017102    $1007     _x001C_</t>
  </si>
  <si>
    <t>///PR:Music__SP:Barney20171018   $1347  _x001E_</t>
  </si>
  <si>
    <t>//PR:Clothing_____SP:Carol20171027     $0  _x001E_</t>
  </si>
  <si>
    <t>////PR:Music__SP:David2017101     $1396     _x001F_</t>
  </si>
  <si>
    <t>/PR:Music____SP:Alice20171023    $1212 _x001C_</t>
  </si>
  <si>
    <t>/PR:Books__SP:Alice20171025 $0 _x001D_</t>
  </si>
  <si>
    <t>///PR:Books_____SP:Barney20171017 $726     _x001F_</t>
  </si>
  <si>
    <t>/PR:Games___SP:David20171023    $0  _x001F_</t>
  </si>
  <si>
    <t>/PR:Music_____SP:Carol2017107  $0    _x001C_</t>
  </si>
  <si>
    <t>////PR:Books_SP:Carol20171022 $505     _x001F_</t>
  </si>
  <si>
    <t>/PR:Music__SP:Barney20171016    $0 _x001F_</t>
  </si>
  <si>
    <t>/////PR:Games_SP:Alice2017104     $2364   _x001F_</t>
  </si>
  <si>
    <t>/////PR:Clothing____SP:Barney20171013  $0 _x001E_</t>
  </si>
  <si>
    <t>////PR:Games_____SP:David20171011 $1930  _x001C_</t>
  </si>
  <si>
    <t>////PR:Books___SP:Carol20171018 $529   _x001D_</t>
  </si>
  <si>
    <t>//PR:Clothing_____SP:Alice20171020 $688 _x001C_</t>
  </si>
  <si>
    <t>/PR:Games__SP:David20171016    $0  _x001E_</t>
  </si>
  <si>
    <t>/PR:Books_SP:Carol2017107     $0   _x001C_</t>
  </si>
  <si>
    <t>///PR:Music__SP:Alice20171029  $1338     _x001C_</t>
  </si>
  <si>
    <t>//PR:Books__SP:Barney20171030   $695    _x001E_</t>
  </si>
  <si>
    <t>//PR:Books_____SP:Alice20171028   $543 _x001C_</t>
  </si>
  <si>
    <t>/////PR:Music____SP:Alice20171016    $0  _x001E_</t>
  </si>
  <si>
    <t>/////PR:Books___SP:Alice20171018    $523  _x001C_</t>
  </si>
  <si>
    <t>/////PR:Games_SP:Alice2017108     $1218   _x001F_</t>
  </si>
  <si>
    <t>///PR:Books_SP:Barney20171025     $838    _x001C_</t>
  </si>
  <si>
    <t>//PR:Games__SP:David20171018     $1893     _x001F_</t>
  </si>
  <si>
    <t>//PR:Clothing_____SP:Alice2017109  $989 _x001D_</t>
  </si>
  <si>
    <t>////PR:Music___SP:Barney20171014   $1144    _x001F_</t>
  </si>
  <si>
    <t>//PR:Clothing_____SP:Alice20171022    $1619   _x001F_</t>
  </si>
  <si>
    <t>/PR:Books_SP:David20171011  $842     _x001F_</t>
  </si>
  <si>
    <t>/PR:Games__SP:Alice2017105  $2369  _x001C_</t>
  </si>
  <si>
    <t>//PR:Books__SP:Barney2017108 $981    _x001C_</t>
  </si>
  <si>
    <t>//PR:Games_____SP:Alice20171012 $2500  _x001C_</t>
  </si>
  <si>
    <t>///PR:Music__SP:Carol20171010     $951    _x001D_</t>
  </si>
  <si>
    <t>//PR:Music____SP:David20171016 $1330 _x001D_</t>
  </si>
  <si>
    <t>//PR:Games_SP:Carol20171017     $2487    _x001D_</t>
  </si>
  <si>
    <t>/PR:Music___SP:Carol20171029   $1464   _x001E_</t>
  </si>
  <si>
    <t>///PR:Books____SP:David2017101  $0   _x001D_</t>
  </si>
  <si>
    <t>/PR:Games_____SP:Alice20171013 $1045 _x001D_</t>
  </si>
  <si>
    <t>////PR:Games_____SP:Alice20171015 $0   _x001E_</t>
  </si>
  <si>
    <t>/////PR:Books___SP:Alice2017107 $0  _x001F_</t>
  </si>
  <si>
    <t>//PR:Clothing__SP:David20171022  $0   _x001C_</t>
  </si>
  <si>
    <t>/PR:Games___SP:Alice2017102    $0     _x001E_</t>
  </si>
  <si>
    <t>/PR:Clothing___SP:Alice20171028 $1021     _x001F_</t>
  </si>
  <si>
    <t>/PR:Games____SP:Alice20171028   $1887    _x001F_</t>
  </si>
  <si>
    <t>/PR:Games___SP:Barney20171012    $1700  _x001E_</t>
  </si>
  <si>
    <t>////PR:Music_____SP:Barney20171011     $1382    _x001C_</t>
  </si>
  <si>
    <t>/////PR:Books_SP:Barney20171021  $808    _x001E_</t>
  </si>
  <si>
    <t>///PR:Music____SP:David20171019     $0     _x001F_</t>
  </si>
  <si>
    <t>//PR:Music_SP:Carol20171025 $1496  _x001D_</t>
  </si>
  <si>
    <t>/PR:Clothing___SP:Alice20171011 $1375   _x001E_</t>
  </si>
  <si>
    <t>/////PR:Books_SP:Alice2017106   $750   _x001C_</t>
  </si>
  <si>
    <t>/////PR:Books_____SP:David2017102     $890 _x001C_</t>
  </si>
  <si>
    <t>/PR:Music_SP:David2017109 $1345 _x001C_</t>
  </si>
  <si>
    <t>////PR:Music___SP:Alice20171024   $0    _x001D_</t>
  </si>
  <si>
    <t>/PR:Clothing__SP:David20171030 $660 _x001D_</t>
  </si>
  <si>
    <t>////PR:Clothing___SP:Barney20171021 $0    _x001F_</t>
  </si>
  <si>
    <t>//PR:Games_____SP:Barney20171020   $2380     _x001E_</t>
  </si>
  <si>
    <t>/////PR:Books____SP:Carol20171025  $515   _x001C_</t>
  </si>
  <si>
    <t>////PR:Clothing__SP:Alice20171017    $650 _x001C_</t>
  </si>
  <si>
    <t>////PR:Books_SP:Barney2017109 $0   _x001D_</t>
  </si>
  <si>
    <t>///PR:Clothing__SP:Barney2017102  $1988    _x001D_</t>
  </si>
  <si>
    <t>/////PR:Music__SP:Carol20171020    $0     _x001D_</t>
  </si>
  <si>
    <t>////PR:Books___SP:David2017108     $501     _x001F_</t>
  </si>
  <si>
    <t>//PR:Clothing_____SP:Alice2017108  $859     _x001D_</t>
  </si>
  <si>
    <t>////PR:Clothing__SP:Barney20171014 $0   _x001D_</t>
  </si>
  <si>
    <t>////PR:Books___SP:Barney20171024  $743  _x001E_</t>
  </si>
  <si>
    <t>/////PR:Books_____SP:Alice20171027    $0  _x001E_</t>
  </si>
  <si>
    <t>/////PR:Books_____SP:Barney20171020 $0 _x001E_</t>
  </si>
  <si>
    <t>/PR:Music__SP:Alice2017106 $1010 _x001C_</t>
  </si>
  <si>
    <t>/PR:Games____SP:Barney20171027  $1250   _x001F_</t>
  </si>
  <si>
    <t>Games</t>
  </si>
  <si>
    <t>Barney</t>
  </si>
  <si>
    <t>Music</t>
  </si>
  <si>
    <t>David</t>
  </si>
  <si>
    <t>Books</t>
  </si>
  <si>
    <t>Carol</t>
  </si>
  <si>
    <t>Clothing</t>
  </si>
  <si>
    <t>Alice</t>
  </si>
  <si>
    <t>Nº</t>
  </si>
  <si>
    <t>PRODUCT</t>
  </si>
  <si>
    <t>SALES PERSON</t>
  </si>
  <si>
    <t xml:space="preserve">SALES AMOUNT  </t>
  </si>
  <si>
    <t>DATE</t>
  </si>
  <si>
    <t>Total Geral</t>
  </si>
  <si>
    <t>PRODUTOS</t>
  </si>
  <si>
    <t>VENDAS POR VENDEDOR</t>
  </si>
  <si>
    <t>VENDEDORES</t>
  </si>
  <si>
    <t xml:space="preserve">VENDAS NO MÊS </t>
  </si>
  <si>
    <t>DIAS</t>
  </si>
  <si>
    <t>TOTAL DAS VENDAS</t>
  </si>
  <si>
    <t xml:space="preserve">Contagem de SALES AMOUNT  </t>
  </si>
  <si>
    <t>%</t>
  </si>
  <si>
    <t>VALOR DAS VENDAS</t>
  </si>
  <si>
    <t>TAB. QUE ALIMENTA O CARD MELHOR VENDEDOR</t>
  </si>
  <si>
    <t>TAB.QUE A.O CARD PRODUTO MAIS VENDIDO</t>
  </si>
  <si>
    <t>TAB.A. O CARD. TOTAL DAS VENDAS COM. G19</t>
  </si>
  <si>
    <t>TAB.A. O CARD. NÚM. DE TRANSAÇOES COM. G23</t>
  </si>
  <si>
    <t>TAB.AL.GRAF.SALES PERSON(COLUNA EMPILHADA)</t>
  </si>
  <si>
    <t>TAB. AL.O GRAF.ROSCA</t>
  </si>
  <si>
    <t>TAB. ALIMENTA G.DO RACKING. BARRAS</t>
  </si>
  <si>
    <t xml:space="preserve">           </t>
  </si>
  <si>
    <t>DADOS</t>
  </si>
  <si>
    <t xml:space="preserve">DADOS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</si>
</sst>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164" formatCode="_-&quot;$&quot;* #,##0_-;\-&quot;$&quot;* #,##0_-;_-&quot;$&quot;* &quot;-&quot;_-;_-@_-"/>
    <numFmt numFmtId="165" formatCode="[$-416]dd\-mmm\-yy;@"/>
    <numFmt numFmtId="166" formatCode="&quot;R$&quot;\ #,##0.00"/>
    <numFmt numFmtId="167" formatCode="d/m;@"/>
    <numFmt numFmtId="168" formatCode="dd/mm"/>
    <numFmt numFmtId="169" formatCode="_-[$R$-416]\ * #,##0_-;\-[$R$-416]\ * #,##0_-;_-[$R$-416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4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6" applyNumberFormat="0" applyAlignment="0" applyProtection="0"/>
    <xf numFmtId="0" fontId="13" fillId="2" borderId="6" applyNumberFormat="0" applyAlignment="0" applyProtection="0"/>
    <xf numFmtId="0" fontId="14" fillId="0" borderId="7" applyNumberFormat="0" applyFill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0" fillId="33" borderId="0" xfId="0" applyFill="1"/>
    <xf numFmtId="0" fontId="0" fillId="0" borderId="0" xfId="0" applyAlignment="1">
      <alignment horizontal="center"/>
    </xf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0" xfId="0" applyNumberFormat="1"/>
    <xf numFmtId="168" fontId="0" fillId="0" borderId="0" xfId="0" applyNumberFormat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0" fontId="0" fillId="0" borderId="0" xfId="0" applyNumberFormat="1"/>
    <xf numFmtId="0" fontId="3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169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NumberFormat="1"/>
  </cellXfs>
  <cellStyles count="44">
    <cellStyle name="20% - Ênfase1" xfId="20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1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2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10" builtinId="26" customBuiltin="1"/>
    <cellStyle name="Cálculo" xfId="14" builtinId="22" customBuiltin="1"/>
    <cellStyle name="Célula de Verificação" xfId="16" builtinId="23" customBuiltin="1"/>
    <cellStyle name="Célula Vinculada" xfId="15" builtinId="24" customBuiltin="1"/>
    <cellStyle name="Ênfase1" xfId="3" builtinId="29" customBuiltin="1"/>
    <cellStyle name="Ênfase2" xfId="4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13" builtinId="20" customBuiltin="1"/>
    <cellStyle name="Moeda [0]" xfId="43" builtinId="7" hidden="1"/>
    <cellStyle name="Neutro" xfId="12" builtinId="28" customBuiltin="1"/>
    <cellStyle name="Normal" xfId="0" builtinId="0"/>
    <cellStyle name="Nota" xfId="18" builtinId="10" customBuiltin="1"/>
    <cellStyle name="Ruim" xfId="11" builtinId="27" customBuiltin="1"/>
    <cellStyle name="Saída" xfId="1" builtinId="21" customBuiltin="1"/>
    <cellStyle name="Separador de milhares [0]" xfId="42" builtinId="6" hidden="1"/>
    <cellStyle name="Texto de Aviso" xfId="17" builtinId="11" customBuiltin="1"/>
    <cellStyle name="Texto Explicativo" xfId="19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9" builtinId="19" customBuiltin="1"/>
    <cellStyle name="Total" xfId="2" builtinId="25" customBuiltin="1"/>
  </cellStyles>
  <dxfs count="17"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d/m;@"/>
    </dxf>
    <dxf>
      <numFmt numFmtId="167" formatCode="d/m;@"/>
      <alignment horizontal="general" vertical="bottom" textRotation="0" wrapText="0" indent="0" justifyLastLine="0" shrinkToFit="0" readingOrder="0"/>
    </dxf>
    <dxf>
      <numFmt numFmtId="166" formatCode="&quot;R$&quot;\ 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2" tint="-0.49998474074526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none">
          <fgColor indexed="64"/>
          <bgColor auto="1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1"/>
        </patternFill>
      </fill>
    </dxf>
  </dxfs>
  <tableStyles count="3" defaultTableStyle="TableStyleMedium2" defaultPivotStyle="PivotStyleLight16">
    <tableStyle name="Estilo de Segmentação de Dados 1" pivot="0" table="0" count="1" xr9:uid="{1FD74DCC-ED8B-4708-B588-2B76706BA2AA}">
      <tableStyleElement type="wholeTable" dxfId="16"/>
    </tableStyle>
    <tableStyle name="MEU" pivot="0" table="0" count="10" xr9:uid="{96D07DE0-6AF9-4D27-B033-3560C0B169D6}">
      <tableStyleElement type="wholeTable" dxfId="15"/>
      <tableStyleElement type="headerRow" dxfId="14"/>
    </tableStyle>
    <tableStyle name="MEU TEMA ESCURO" pivot="0" table="0" count="10" xr9:uid="{9D63E4F8-ED1B-4F30-9CD2-0937DECF5C5F}">
      <tableStyleElement type="wholeTable" dxfId="13"/>
      <tableStyleElement type="headerRow" dxfId="12"/>
    </tableStyle>
  </tableStyles>
  <colors>
    <mruColors>
      <color rgb="FF00F5FF"/>
      <color rgb="FFFFFFFF"/>
      <color rgb="FF00E676"/>
      <color rgb="FF4A4A4A"/>
      <color rgb="FFE0E0E0"/>
      <color rgb="FF1B4D22"/>
      <color rgb="FF3A404A"/>
      <color rgb="FF9D00FF"/>
      <color rgb="FF39FF14"/>
      <color rgb="FF000000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MEU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MEU TEMA ESCUR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[PROJECTO_01_Dashboard_Executivo_de_Vendas (1).xlsx]TABELAS DINÂMICAS!Tabela dE VENDAS POR VENDEDOR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DINÂMICAS'!$E$11:$E$12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DINÂMICAS'!$D$13:$D$17</c:f>
              <c:strCache>
                <c:ptCount val="4"/>
                <c:pt idx="0">
                  <c:v>Alice</c:v>
                </c:pt>
                <c:pt idx="1">
                  <c:v>Barney</c:v>
                </c:pt>
                <c:pt idx="2">
                  <c:v>Carol</c:v>
                </c:pt>
                <c:pt idx="3">
                  <c:v>David</c:v>
                </c:pt>
              </c:strCache>
            </c:strRef>
          </c:cat>
          <c:val>
            <c:numRef>
              <c:f>'TABELAS DINÂMICAS'!$E$13:$E$17</c:f>
              <c:numCache>
                <c:formatCode>"R$"\ #,##0.00</c:formatCode>
                <c:ptCount val="4"/>
                <c:pt idx="0">
                  <c:v>16715</c:v>
                </c:pt>
                <c:pt idx="1">
                  <c:v>18617</c:v>
                </c:pt>
                <c:pt idx="2">
                  <c:v>16311</c:v>
                </c:pt>
                <c:pt idx="3">
                  <c:v>18108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F-4EBE-8703-E32A149F52C2}"/>
            </c:ext>
          </c:extLst>
        </c:ser>
        <c:ser>
          <c:idx val="1"/>
          <c:order val="1"/>
          <c:tx>
            <c:strRef>
              <c:f>'TABELAS DINÂMICAS'!$F$11:$F$12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'TABELAS DINÂMICAS'!$D$13:$D$17</c:f>
              <c:strCache>
                <c:ptCount val="4"/>
                <c:pt idx="0">
                  <c:v>Alice</c:v>
                </c:pt>
                <c:pt idx="1">
                  <c:v>Barney</c:v>
                </c:pt>
                <c:pt idx="2">
                  <c:v>Carol</c:v>
                </c:pt>
                <c:pt idx="3">
                  <c:v>David</c:v>
                </c:pt>
              </c:strCache>
            </c:strRef>
          </c:cat>
          <c:val>
            <c:numRef>
              <c:f>'TABELAS DINÂMICAS'!$F$13:$F$17</c:f>
              <c:numCache>
                <c:formatCode>"R$"\ #,##0.00</c:formatCode>
                <c:ptCount val="4"/>
                <c:pt idx="0">
                  <c:v>33216</c:v>
                </c:pt>
                <c:pt idx="1">
                  <c:v>29273</c:v>
                </c:pt>
                <c:pt idx="2">
                  <c:v>26250</c:v>
                </c:pt>
                <c:pt idx="3">
                  <c:v>27880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9A-4238-A287-3401D9B28A28}"/>
            </c:ext>
          </c:extLst>
        </c:ser>
        <c:ser>
          <c:idx val="2"/>
          <c:order val="2"/>
          <c:tx>
            <c:strRef>
              <c:f>'TABELAS DINÂMICAS'!$G$11:$G$12</c:f>
              <c:strCache>
                <c:ptCount val="1"/>
                <c:pt idx="0">
                  <c:v>Games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'TABELAS DINÂMICAS'!$D$13:$D$17</c:f>
              <c:strCache>
                <c:ptCount val="4"/>
                <c:pt idx="0">
                  <c:v>Alice</c:v>
                </c:pt>
                <c:pt idx="1">
                  <c:v>Barney</c:v>
                </c:pt>
                <c:pt idx="2">
                  <c:v>Carol</c:v>
                </c:pt>
                <c:pt idx="3">
                  <c:v>David</c:v>
                </c:pt>
              </c:strCache>
            </c:strRef>
          </c:cat>
          <c:val>
            <c:numRef>
              <c:f>'TABELAS DINÂMICAS'!$G$13:$G$17</c:f>
              <c:numCache>
                <c:formatCode>"R$"\ #,##0.00</c:formatCode>
                <c:ptCount val="4"/>
                <c:pt idx="0">
                  <c:v>40079</c:v>
                </c:pt>
                <c:pt idx="1">
                  <c:v>34208</c:v>
                </c:pt>
                <c:pt idx="2">
                  <c:v>41694</c:v>
                </c:pt>
                <c:pt idx="3">
                  <c:v>33223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9A-4238-A287-3401D9B28A28}"/>
            </c:ext>
          </c:extLst>
        </c:ser>
        <c:ser>
          <c:idx val="3"/>
          <c:order val="3"/>
          <c:tx>
            <c:strRef>
              <c:f>'TABELAS DINÂMICAS'!$H$11:$H$12</c:f>
              <c:strCache>
                <c:ptCount val="1"/>
                <c:pt idx="0">
                  <c:v>Music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'TABELAS DINÂMICAS'!$D$13:$D$17</c:f>
              <c:strCache>
                <c:ptCount val="4"/>
                <c:pt idx="0">
                  <c:v>Alice</c:v>
                </c:pt>
                <c:pt idx="1">
                  <c:v>Barney</c:v>
                </c:pt>
                <c:pt idx="2">
                  <c:v>Carol</c:v>
                </c:pt>
                <c:pt idx="3">
                  <c:v>David</c:v>
                </c:pt>
              </c:strCache>
            </c:strRef>
          </c:cat>
          <c:val>
            <c:numRef>
              <c:f>'TABELAS DINÂMICAS'!$H$13:$H$17</c:f>
              <c:numCache>
                <c:formatCode>"R$"\ #,##0.00</c:formatCode>
                <c:ptCount val="4"/>
                <c:pt idx="0">
                  <c:v>24324</c:v>
                </c:pt>
                <c:pt idx="1">
                  <c:v>28335</c:v>
                </c:pt>
                <c:pt idx="2">
                  <c:v>25886</c:v>
                </c:pt>
                <c:pt idx="3">
                  <c:v>27403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9A-4238-A287-3401D9B28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4774351"/>
        <c:axId val="1284775311"/>
      </c:barChart>
      <c:catAx>
        <c:axId val="128477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284775311"/>
        <c:crosses val="autoZero"/>
        <c:auto val="1"/>
        <c:lblAlgn val="ctr"/>
        <c:lblOffset val="100"/>
        <c:noMultiLvlLbl val="0"/>
      </c:catAx>
      <c:valAx>
        <c:axId val="128477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28477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41666666666659"/>
          <c:y val="0.22965841500028325"/>
          <c:w val="0.16458349926048599"/>
          <c:h val="0.51322434969865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A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AO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[PROJECTO_01_Dashboard_Executivo_de_Vendas (1).xlsx]TABELAS DINÂMICAS!TABELA DE VENDAS</c:name>
    <c:fmtId val="8"/>
  </c:pivotSource>
  <c:chart>
    <c:title>
      <c:layout>
        <c:manualLayout>
          <c:xMode val="edge"/>
          <c:yMode val="edge"/>
          <c:x val="0.44060258249641326"/>
          <c:y val="5.7461110044171308E-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pt-AO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060060060060424E-3"/>
              <c:y val="-3.9151712887438767E-2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002002002002002E-3"/>
              <c:y val="-3.2626427406199322E-3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080080080080079E-3"/>
              <c:y val="-1.1962885186002473E-16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822212178160509"/>
          <c:y val="0.20606496062992127"/>
          <c:w val="0.41251598054747662"/>
          <c:h val="0.67227318852680118"/>
        </c:manualLayout>
      </c:layout>
      <c:doughnutChart>
        <c:varyColors val="1"/>
        <c:ser>
          <c:idx val="0"/>
          <c:order val="0"/>
          <c:tx>
            <c:strRef>
              <c:f>'TABELAS DINÂMICAS'!$B$3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30E-4C64-97D0-07579031C6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30E-4C64-97D0-07579031C6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0E-4C64-97D0-07579031C6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0E-4C64-97D0-07579031C61B}"/>
              </c:ext>
            </c:extLst>
          </c:dPt>
          <c:dLbls>
            <c:dLbl>
              <c:idx val="0"/>
              <c:layout>
                <c:manualLayout>
                  <c:x val="-6.0060060060060424E-3"/>
                  <c:y val="-3.915171288743876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0E-4C64-97D0-07579031C61B}"/>
                </c:ext>
              </c:extLst>
            </c:dLbl>
            <c:dLbl>
              <c:idx val="1"/>
              <c:layout>
                <c:manualLayout>
                  <c:x val="2.002002002002002E-3"/>
                  <c:y val="-3.2626427406199322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0E-4C64-97D0-07579031C61B}"/>
                </c:ext>
              </c:extLst>
            </c:dLbl>
            <c:dLbl>
              <c:idx val="2"/>
              <c:layout>
                <c:manualLayout>
                  <c:x val="0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pt-AO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330E-4C64-97D0-07579031C61B}"/>
                </c:ext>
              </c:extLst>
            </c:dLbl>
            <c:dLbl>
              <c:idx val="3"/>
              <c:layout>
                <c:manualLayout>
                  <c:x val="-8.0080080080080079E-3"/>
                  <c:y val="-1.1962885186002473E-1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0E-4C64-97D0-07579031C6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A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'TABELAS DINÂMICAS'!$A$4:$A$8</c:f>
              <c:strCache>
                <c:ptCount val="4"/>
                <c:pt idx="0">
                  <c:v>Games</c:v>
                </c:pt>
                <c:pt idx="1">
                  <c:v>Clothing</c:v>
                </c:pt>
                <c:pt idx="2">
                  <c:v>Music</c:v>
                </c:pt>
                <c:pt idx="3">
                  <c:v>Books</c:v>
                </c:pt>
              </c:strCache>
            </c:strRef>
          </c:cat>
          <c:val>
            <c:numRef>
              <c:f>'TABELAS DINÂMICAS'!$B$4:$B$8</c:f>
              <c:numCache>
                <c:formatCode>"R$"\ #,##0.00</c:formatCode>
                <c:ptCount val="4"/>
                <c:pt idx="0">
                  <c:v>149204</c:v>
                </c:pt>
                <c:pt idx="1">
                  <c:v>116619</c:v>
                </c:pt>
                <c:pt idx="2">
                  <c:v>105948</c:v>
                </c:pt>
                <c:pt idx="3">
                  <c:v>69751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E-4C64-97D0-07579031C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97"/>
        <c:holeSize val="77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9677419354839"/>
          <c:y val="0.48105607766771091"/>
          <c:w val="0.22903225806451613"/>
          <c:h val="0.46706008523128156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pt-A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AO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[PROJECTO_01_Dashboard_Executivo_de_Vendas (1).xlsx]TABELAS DINÂMICAS!Tabela VENDAS DIÁRIA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EVOLUÇÃO</a:t>
            </a:r>
            <a:r>
              <a:rPr lang="en-US" sz="1200" b="1" baseline="0">
                <a:solidFill>
                  <a:schemeClr val="tx1"/>
                </a:solidFill>
              </a:rPr>
              <a:t> DAS VENDAS AO LONGO DO MÊS </a:t>
            </a:r>
            <a:endParaRPr lang="en-US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41599000800316"/>
          <c:y val="0.184229145269884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'TABELAS DINÂMICAS'!$B$11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'TABELAS DINÂMICAS'!$A$12:$A$43</c:f>
              <c:strCache>
                <c:ptCount val="31"/>
                <c:pt idx="0">
                  <c:v>01/10</c:v>
                </c:pt>
                <c:pt idx="1">
                  <c:v>02/10</c:v>
                </c:pt>
                <c:pt idx="2">
                  <c:v>03/10</c:v>
                </c:pt>
                <c:pt idx="3">
                  <c:v>04/10</c:v>
                </c:pt>
                <c:pt idx="4">
                  <c:v>05/10</c:v>
                </c:pt>
                <c:pt idx="5">
                  <c:v>06/10</c:v>
                </c:pt>
                <c:pt idx="6">
                  <c:v>07/10</c:v>
                </c:pt>
                <c:pt idx="7">
                  <c:v>08/10</c:v>
                </c:pt>
                <c:pt idx="8">
                  <c:v>09/10</c:v>
                </c:pt>
                <c:pt idx="9">
                  <c:v>10/10</c:v>
                </c:pt>
                <c:pt idx="10">
                  <c:v>11/10</c:v>
                </c:pt>
                <c:pt idx="11">
                  <c:v>12/10</c:v>
                </c:pt>
                <c:pt idx="12">
                  <c:v>13/10</c:v>
                </c:pt>
                <c:pt idx="13">
                  <c:v>14/10</c:v>
                </c:pt>
                <c:pt idx="14">
                  <c:v>15/10</c:v>
                </c:pt>
                <c:pt idx="15">
                  <c:v>16/10</c:v>
                </c:pt>
                <c:pt idx="16">
                  <c:v>17/10</c:v>
                </c:pt>
                <c:pt idx="17">
                  <c:v>18/10</c:v>
                </c:pt>
                <c:pt idx="18">
                  <c:v>19/10</c:v>
                </c:pt>
                <c:pt idx="19">
                  <c:v>20/10</c:v>
                </c:pt>
                <c:pt idx="20">
                  <c:v>21/10</c:v>
                </c:pt>
                <c:pt idx="21">
                  <c:v>22/10</c:v>
                </c:pt>
                <c:pt idx="22">
                  <c:v>23/10</c:v>
                </c:pt>
                <c:pt idx="23">
                  <c:v>24/10</c:v>
                </c:pt>
                <c:pt idx="24">
                  <c:v>25/10</c:v>
                </c:pt>
                <c:pt idx="25">
                  <c:v>26/10</c:v>
                </c:pt>
                <c:pt idx="26">
                  <c:v>27/10</c:v>
                </c:pt>
                <c:pt idx="27">
                  <c:v>28/10</c:v>
                </c:pt>
                <c:pt idx="28">
                  <c:v>29/10</c:v>
                </c:pt>
                <c:pt idx="29">
                  <c:v>30/10</c:v>
                </c:pt>
                <c:pt idx="30">
                  <c:v>31/10</c:v>
                </c:pt>
              </c:strCache>
            </c:strRef>
          </c:cat>
          <c:val>
            <c:numRef>
              <c:f>'TABELAS DINÂMICAS'!$B$12:$B$43</c:f>
              <c:numCache>
                <c:formatCode>"R$"\ #,##0.00</c:formatCode>
                <c:ptCount val="31"/>
                <c:pt idx="0">
                  <c:v>14883</c:v>
                </c:pt>
                <c:pt idx="1">
                  <c:v>15539</c:v>
                </c:pt>
                <c:pt idx="2">
                  <c:v>12707</c:v>
                </c:pt>
                <c:pt idx="3">
                  <c:v>15074</c:v>
                </c:pt>
                <c:pt idx="4">
                  <c:v>17198</c:v>
                </c:pt>
                <c:pt idx="5">
                  <c:v>12568</c:v>
                </c:pt>
                <c:pt idx="6">
                  <c:v>13381</c:v>
                </c:pt>
                <c:pt idx="7">
                  <c:v>16149</c:v>
                </c:pt>
                <c:pt idx="8">
                  <c:v>15012</c:v>
                </c:pt>
                <c:pt idx="9">
                  <c:v>17762</c:v>
                </c:pt>
                <c:pt idx="10">
                  <c:v>15674</c:v>
                </c:pt>
                <c:pt idx="11">
                  <c:v>16568</c:v>
                </c:pt>
                <c:pt idx="12">
                  <c:v>12414</c:v>
                </c:pt>
                <c:pt idx="13">
                  <c:v>15618</c:v>
                </c:pt>
                <c:pt idx="14">
                  <c:v>15724</c:v>
                </c:pt>
                <c:pt idx="15">
                  <c:v>13177</c:v>
                </c:pt>
                <c:pt idx="16">
                  <c:v>15378</c:v>
                </c:pt>
                <c:pt idx="17">
                  <c:v>16759</c:v>
                </c:pt>
                <c:pt idx="18">
                  <c:v>6222</c:v>
                </c:pt>
                <c:pt idx="19">
                  <c:v>13710</c:v>
                </c:pt>
                <c:pt idx="20">
                  <c:v>13242</c:v>
                </c:pt>
                <c:pt idx="21">
                  <c:v>15319</c:v>
                </c:pt>
                <c:pt idx="22">
                  <c:v>14696</c:v>
                </c:pt>
                <c:pt idx="23">
                  <c:v>10607</c:v>
                </c:pt>
                <c:pt idx="24">
                  <c:v>15468</c:v>
                </c:pt>
                <c:pt idx="25">
                  <c:v>15583</c:v>
                </c:pt>
                <c:pt idx="26">
                  <c:v>12433</c:v>
                </c:pt>
                <c:pt idx="27">
                  <c:v>17721</c:v>
                </c:pt>
                <c:pt idx="28">
                  <c:v>11466</c:v>
                </c:pt>
                <c:pt idx="29">
                  <c:v>9616</c:v>
                </c:pt>
                <c:pt idx="30">
                  <c:v>13854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2-4CDD-805A-DD3855EF9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4810831"/>
        <c:axId val="1284811791"/>
      </c:lineChart>
      <c:catAx>
        <c:axId val="12848108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284811791"/>
        <c:crosses val="autoZero"/>
        <c:auto val="1"/>
        <c:lblAlgn val="ctr"/>
        <c:lblOffset val="100"/>
        <c:noMultiLvlLbl val="0"/>
      </c:catAx>
      <c:valAx>
        <c:axId val="128481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284810831"/>
        <c:crosses val="autoZero"/>
        <c:crossBetween val="between"/>
      </c:valAx>
      <c:spPr>
        <a:gradFill flip="none" rotWithShape="1">
          <a:gsLst>
            <a:gs pos="0">
              <a:schemeClr val="accent5">
                <a:lumMod val="40000"/>
                <a:lumOff val="60000"/>
              </a:schemeClr>
            </a:gs>
            <a:gs pos="21000">
              <a:schemeClr val="accent5">
                <a:lumMod val="95000"/>
                <a:lumOff val="5000"/>
              </a:schemeClr>
            </a:gs>
            <a:gs pos="100000">
              <a:schemeClr val="accent5">
                <a:lumMod val="60000"/>
              </a:schemeClr>
            </a:gs>
          </a:gsLst>
          <a:path path="circle">
            <a:fillToRect l="50000" t="130000" r="50000" b="-30000"/>
          </a:path>
          <a:tileRect/>
        </a:gradFill>
        <a:ln>
          <a:solidFill>
            <a:srgbClr val="0070C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AO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[PROJECTO_01_Dashboard_Executivo_de_Vendas (1).xlsx]TABELAS DINÂMICAS!VENDEDORES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RACKING</a:t>
            </a:r>
            <a:r>
              <a:rPr lang="en-US" baseline="0"/>
              <a:t> DOS MELHORES  VENDEDORES</a:t>
            </a:r>
            <a:endParaRPr lang="en-US"/>
          </a:p>
        </c:rich>
      </c:tx>
      <c:layout>
        <c:manualLayout>
          <c:xMode val="edge"/>
          <c:yMode val="edge"/>
          <c:x val="0.23724475065616801"/>
          <c:y val="0.21361718092675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DINÂMICAS'!$D$4:$D$8</c:f>
              <c:strCache>
                <c:ptCount val="4"/>
                <c:pt idx="0">
                  <c:v>Alice</c:v>
                </c:pt>
                <c:pt idx="1">
                  <c:v>Barney</c:v>
                </c:pt>
                <c:pt idx="2">
                  <c:v>Carol</c:v>
                </c:pt>
                <c:pt idx="3">
                  <c:v>David</c:v>
                </c:pt>
              </c:strCache>
            </c:strRef>
          </c:cat>
          <c:val>
            <c:numRef>
              <c:f>'TABELAS DINÂMICAS'!$E$4:$E$8</c:f>
              <c:numCache>
                <c:formatCode>"R$"\ #,##0.00</c:formatCode>
                <c:ptCount val="4"/>
                <c:pt idx="0">
                  <c:v>114334</c:v>
                </c:pt>
                <c:pt idx="1">
                  <c:v>110433</c:v>
                </c:pt>
                <c:pt idx="2">
                  <c:v>110141</c:v>
                </c:pt>
                <c:pt idx="3">
                  <c:v>106614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3-437F-8C06-8A5EEB745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908256"/>
        <c:axId val="60584528"/>
      </c:barChart>
      <c:catAx>
        <c:axId val="1289082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60584528"/>
        <c:crosses val="autoZero"/>
        <c:auto val="1"/>
        <c:lblAlgn val="ctr"/>
        <c:lblOffset val="100"/>
        <c:noMultiLvlLbl val="0"/>
      </c:catAx>
      <c:valAx>
        <c:axId val="605845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289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A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AO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[PROJECTO_01_Dashboard_Executivo_de_Vendas (1).xlsx]TABELAS DINÂMICAS!Tabela VENDAS DIÁRIA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F5FF"/>
            </a:solidFill>
            <a:round/>
          </a:ln>
          <a:effectLst>
            <a:glow rad="215900">
              <a:srgbClr val="92D050">
                <a:alpha val="21000"/>
              </a:srgbClr>
            </a:glow>
            <a:softEdge rad="0"/>
          </a:effectLst>
        </c:spPr>
        <c:marker>
          <c:symbol val="circle"/>
          <c:size val="6"/>
          <c:spPr>
            <a:solidFill>
              <a:srgbClr val="00F5FF"/>
            </a:solidFill>
            <a:ln w="9525">
              <a:solidFill>
                <a:srgbClr val="FFFFF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424570928417838E-2"/>
          <c:y val="3.5649432643548196E-2"/>
          <c:w val="0.96091753230484922"/>
          <c:h val="0.73732741341422436"/>
        </c:manualLayout>
      </c:layout>
      <c:lineChart>
        <c:grouping val="standard"/>
        <c:varyColors val="0"/>
        <c:ser>
          <c:idx val="0"/>
          <c:order val="0"/>
          <c:tx>
            <c:strRef>
              <c:f>'TABELAS DINÂMICAS'!$B$11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F5FF"/>
              </a:solidFill>
              <a:round/>
            </a:ln>
            <a:effectLst>
              <a:glow rad="215900">
                <a:srgbClr val="92D050">
                  <a:alpha val="21000"/>
                </a:srgbClr>
              </a:glow>
              <a:softEdge rad="0"/>
            </a:effectLst>
          </c:spPr>
          <c:marker>
            <c:symbol val="circle"/>
            <c:size val="6"/>
            <c:spPr>
              <a:solidFill>
                <a:srgbClr val="00F5FF"/>
              </a:solidFill>
              <a:ln w="9525">
                <a:solidFill>
                  <a:srgbClr val="FFFFFF"/>
                </a:solidFill>
              </a:ln>
              <a:effectLst/>
            </c:spPr>
          </c:marker>
          <c:cat>
            <c:strRef>
              <c:f>'TABELAS DINÂMICAS'!$A$12:$A$43</c:f>
              <c:strCache>
                <c:ptCount val="31"/>
                <c:pt idx="0">
                  <c:v>01/10</c:v>
                </c:pt>
                <c:pt idx="1">
                  <c:v>02/10</c:v>
                </c:pt>
                <c:pt idx="2">
                  <c:v>03/10</c:v>
                </c:pt>
                <c:pt idx="3">
                  <c:v>04/10</c:v>
                </c:pt>
                <c:pt idx="4">
                  <c:v>05/10</c:v>
                </c:pt>
                <c:pt idx="5">
                  <c:v>06/10</c:v>
                </c:pt>
                <c:pt idx="6">
                  <c:v>07/10</c:v>
                </c:pt>
                <c:pt idx="7">
                  <c:v>08/10</c:v>
                </c:pt>
                <c:pt idx="8">
                  <c:v>09/10</c:v>
                </c:pt>
                <c:pt idx="9">
                  <c:v>10/10</c:v>
                </c:pt>
                <c:pt idx="10">
                  <c:v>11/10</c:v>
                </c:pt>
                <c:pt idx="11">
                  <c:v>12/10</c:v>
                </c:pt>
                <c:pt idx="12">
                  <c:v>13/10</c:v>
                </c:pt>
                <c:pt idx="13">
                  <c:v>14/10</c:v>
                </c:pt>
                <c:pt idx="14">
                  <c:v>15/10</c:v>
                </c:pt>
                <c:pt idx="15">
                  <c:v>16/10</c:v>
                </c:pt>
                <c:pt idx="16">
                  <c:v>17/10</c:v>
                </c:pt>
                <c:pt idx="17">
                  <c:v>18/10</c:v>
                </c:pt>
                <c:pt idx="18">
                  <c:v>19/10</c:v>
                </c:pt>
                <c:pt idx="19">
                  <c:v>20/10</c:v>
                </c:pt>
                <c:pt idx="20">
                  <c:v>21/10</c:v>
                </c:pt>
                <c:pt idx="21">
                  <c:v>22/10</c:v>
                </c:pt>
                <c:pt idx="22">
                  <c:v>23/10</c:v>
                </c:pt>
                <c:pt idx="23">
                  <c:v>24/10</c:v>
                </c:pt>
                <c:pt idx="24">
                  <c:v>25/10</c:v>
                </c:pt>
                <c:pt idx="25">
                  <c:v>26/10</c:v>
                </c:pt>
                <c:pt idx="26">
                  <c:v>27/10</c:v>
                </c:pt>
                <c:pt idx="27">
                  <c:v>28/10</c:v>
                </c:pt>
                <c:pt idx="28">
                  <c:v>29/10</c:v>
                </c:pt>
                <c:pt idx="29">
                  <c:v>30/10</c:v>
                </c:pt>
                <c:pt idx="30">
                  <c:v>31/10</c:v>
                </c:pt>
              </c:strCache>
            </c:strRef>
          </c:cat>
          <c:val>
            <c:numRef>
              <c:f>'TABELAS DINÂMICAS'!$B$12:$B$43</c:f>
              <c:numCache>
                <c:formatCode>"R$"\ #,##0.00</c:formatCode>
                <c:ptCount val="31"/>
                <c:pt idx="0">
                  <c:v>14883</c:v>
                </c:pt>
                <c:pt idx="1">
                  <c:v>15539</c:v>
                </c:pt>
                <c:pt idx="2">
                  <c:v>12707</c:v>
                </c:pt>
                <c:pt idx="3">
                  <c:v>15074</c:v>
                </c:pt>
                <c:pt idx="4">
                  <c:v>17198</c:v>
                </c:pt>
                <c:pt idx="5">
                  <c:v>12568</c:v>
                </c:pt>
                <c:pt idx="6">
                  <c:v>13381</c:v>
                </c:pt>
                <c:pt idx="7">
                  <c:v>16149</c:v>
                </c:pt>
                <c:pt idx="8">
                  <c:v>15012</c:v>
                </c:pt>
                <c:pt idx="9">
                  <c:v>17762</c:v>
                </c:pt>
                <c:pt idx="10">
                  <c:v>15674</c:v>
                </c:pt>
                <c:pt idx="11">
                  <c:v>16568</c:v>
                </c:pt>
                <c:pt idx="12">
                  <c:v>12414</c:v>
                </c:pt>
                <c:pt idx="13">
                  <c:v>15618</c:v>
                </c:pt>
                <c:pt idx="14">
                  <c:v>15724</c:v>
                </c:pt>
                <c:pt idx="15">
                  <c:v>13177</c:v>
                </c:pt>
                <c:pt idx="16">
                  <c:v>15378</c:v>
                </c:pt>
                <c:pt idx="17">
                  <c:v>16759</c:v>
                </c:pt>
                <c:pt idx="18">
                  <c:v>6222</c:v>
                </c:pt>
                <c:pt idx="19">
                  <c:v>13710</c:v>
                </c:pt>
                <c:pt idx="20">
                  <c:v>13242</c:v>
                </c:pt>
                <c:pt idx="21">
                  <c:v>15319</c:v>
                </c:pt>
                <c:pt idx="22">
                  <c:v>14696</c:v>
                </c:pt>
                <c:pt idx="23">
                  <c:v>10607</c:v>
                </c:pt>
                <c:pt idx="24">
                  <c:v>15468</c:v>
                </c:pt>
                <c:pt idx="25">
                  <c:v>15583</c:v>
                </c:pt>
                <c:pt idx="26">
                  <c:v>12433</c:v>
                </c:pt>
                <c:pt idx="27">
                  <c:v>17721</c:v>
                </c:pt>
                <c:pt idx="28">
                  <c:v>11466</c:v>
                </c:pt>
                <c:pt idx="29">
                  <c:v>9616</c:v>
                </c:pt>
                <c:pt idx="30">
                  <c:v>13854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D-4B69-980D-EDA586B51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810831"/>
        <c:axId val="1284811791"/>
      </c:lineChart>
      <c:catAx>
        <c:axId val="12848108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sng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284811791"/>
        <c:crosses val="autoZero"/>
        <c:auto val="1"/>
        <c:lblAlgn val="ctr"/>
        <c:lblOffset val="100"/>
        <c:noMultiLvlLbl val="0"/>
      </c:catAx>
      <c:valAx>
        <c:axId val="1284811791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28481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u="sng"/>
      </a:pPr>
      <a:endParaRPr lang="pt-AO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[PROJECTO_01_Dashboard_Executivo_de_Vendas (1).xlsx]TABELAS DINÂMICAS!VENDEDORES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0">
                <a:srgbClr val="0B3142"/>
              </a:gs>
              <a:gs pos="77140">
                <a:srgbClr val="2EBE70"/>
              </a:gs>
              <a:gs pos="0">
                <a:srgbClr val="000000"/>
              </a:gs>
              <a:gs pos="95000">
                <a:srgbClr val="00B050"/>
              </a:gs>
            </a:gsLst>
            <a:lin ang="5400000" scaled="1"/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rgbClr val="0B3142"/>
                </a:gs>
                <a:gs pos="77140">
                  <a:srgbClr val="2EBE70"/>
                </a:gs>
                <a:gs pos="0">
                  <a:srgbClr val="000000"/>
                </a:gs>
                <a:gs pos="95000">
                  <a:srgbClr val="00B050"/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0">
                <a:srgbClr val="0B3142"/>
              </a:gs>
              <a:gs pos="77140">
                <a:srgbClr val="2EBE70"/>
              </a:gs>
              <a:gs pos="0">
                <a:srgbClr val="000000"/>
              </a:gs>
              <a:gs pos="95000">
                <a:srgbClr val="00B050"/>
              </a:gs>
            </a:gsLst>
            <a:lin ang="5400000" scaled="1"/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rgbClr val="0B3142"/>
                </a:gs>
                <a:gs pos="77140">
                  <a:srgbClr val="2EBE70"/>
                </a:gs>
                <a:gs pos="0">
                  <a:srgbClr val="000000"/>
                </a:gs>
                <a:gs pos="95000">
                  <a:srgbClr val="00B050"/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0.27393307974312431"/>
              <c:y val="-2.28809114890346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lang="en-US"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5D21A1E7-C6A1-4BB8-9768-4F79959467EE}" type="CATEGORYNAME">
                  <a:rPr lang="en-US"/>
                  <a:pPr>
                    <a:defRPr sz="1400" b="1">
                      <a:solidFill>
                        <a:schemeClr val="bg1"/>
                      </a:solidFill>
                    </a:defRPr>
                  </a:pPr>
                  <a:t>[NOME DA CATEGORIA]</a:t>
                </a:fld>
                <a:endParaRPr lang="en-US" baseline="0"/>
              </a:p>
              <a:p>
                <a:pPr>
                  <a:defRPr sz="1400" b="1">
                    <a:solidFill>
                      <a:schemeClr val="bg1"/>
                    </a:solidFill>
                  </a:defRPr>
                </a:pPr>
                <a:r>
                  <a:rPr lang="en-US" baseline="0"/>
                  <a:t> </a:t>
                </a:r>
                <a:fld id="{ED41D21F-2F01-4AF0-B889-5DF55B4C4CB4}" type="VALUE">
                  <a:rPr lang="en-US" baseline="0"/>
                  <a:pPr>
                    <a:defRPr sz="1400" b="1"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3105499399416863"/>
                  <c:h val="0.10732277612117286"/>
                </c:manualLayout>
              </c15:layout>
              <c15:dlblFieldTable/>
              <c15:showDataLabelsRange val="0"/>
            </c:ext>
          </c:extLst>
        </c:dLbl>
      </c:pivotFmt>
      <c:pivotFmt>
        <c:idx val="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0">
                <a:srgbClr val="0B3142"/>
              </a:gs>
              <a:gs pos="77140">
                <a:srgbClr val="2EBE70"/>
              </a:gs>
              <a:gs pos="0">
                <a:srgbClr val="000000"/>
              </a:gs>
              <a:gs pos="95000">
                <a:srgbClr val="00B050"/>
              </a:gs>
            </a:gsLst>
            <a:lin ang="5400000" scaled="1"/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rgbClr val="0B3142"/>
                </a:gs>
                <a:gs pos="77140">
                  <a:srgbClr val="2EBE70"/>
                </a:gs>
                <a:gs pos="0">
                  <a:srgbClr val="000000"/>
                </a:gs>
                <a:gs pos="95000">
                  <a:srgbClr val="00B050"/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0.29554927497265759"/>
              <c:y val="-1.0400414313197586E-2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noAutofit/>
              </a:bodyPr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defRPr>
                </a:pPr>
                <a:fld id="{3A0BC3DC-EC87-4389-8855-D702F886038A}" type="CATEGORYNAME">
                  <a:rPr lang="en-US" sz="14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rPr>
                  <a:pPr algn="ctr" rtl="0">
                    <a:defRPr sz="1400" b="1">
                      <a:solidFill>
                        <a:sysClr val="window" lastClr="FFFFFF"/>
                      </a:solidFill>
                    </a:defRPr>
                  </a:pPr>
                  <a:t>[NOME DA CATEGORIA]</a:t>
                </a:fld>
                <a:endParaRPr lang="en-US" sz="14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endParaRPr>
              </a:p>
              <a:p>
                <a:pPr algn="ctr" rtl="0">
                  <a:defRPr sz="1400" b="1">
                    <a:solidFill>
                      <a:sysClr val="window" lastClr="FFFFFF"/>
                    </a:solidFill>
                  </a:defRPr>
                </a:pPr>
                <a:r>
                  <a:rPr lang="en-US" sz="14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rPr>
                  <a:t> </a:t>
                </a:r>
                <a:fld id="{BE6405E6-EDDA-4E11-ACB0-579FD84BEA65}" type="VALUE">
                  <a:rPr lang="en-US" sz="14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rPr>
                  <a:pPr algn="ctr" rtl="0">
                    <a:defRPr sz="1400" b="1">
                      <a:solidFill>
                        <a:sysClr val="window" lastClr="FFFFFF"/>
                      </a:solidFill>
                    </a:defRPr>
                  </a:pPr>
                  <a:t>[VALOR]</a:t>
                </a:fld>
                <a:endParaRPr lang="en-US" sz="14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14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6069359436198384"/>
                  <c:h val="0.10524269325853333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0">
                <a:srgbClr val="0B3142"/>
              </a:gs>
              <a:gs pos="77140">
                <a:srgbClr val="2EBE70"/>
              </a:gs>
              <a:gs pos="0">
                <a:srgbClr val="000000"/>
              </a:gs>
              <a:gs pos="95000">
                <a:srgbClr val="00B050"/>
              </a:gs>
            </a:gsLst>
            <a:lin ang="5400000" scaled="1"/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rgbClr val="0B3142"/>
                </a:gs>
                <a:gs pos="77140">
                  <a:srgbClr val="2EBE70"/>
                </a:gs>
                <a:gs pos="0">
                  <a:srgbClr val="000000"/>
                </a:gs>
                <a:gs pos="95000">
                  <a:srgbClr val="00B050"/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0.30540473008878344"/>
              <c:y val="-1.040041431319743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lang="en-US"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7729F4E-B26F-4C6F-A496-F7E5E7870FD3}" type="CATEGORYNAME">
                  <a:rPr lang="en-US"/>
                  <a:pPr>
                    <a:defRPr sz="1400" b="1">
                      <a:solidFill>
                        <a:schemeClr val="bg1"/>
                      </a:solidFill>
                    </a:defRPr>
                  </a:pPr>
                  <a:t>[NOME DA CATEGORIA]</a:t>
                </a:fld>
                <a:endParaRPr lang="en-US" baseline="0"/>
              </a:p>
              <a:p>
                <a:pPr>
                  <a:defRPr sz="1400" b="1">
                    <a:solidFill>
                      <a:schemeClr val="bg1"/>
                    </a:solidFill>
                  </a:defRPr>
                </a:pPr>
                <a:fld id="{53395334-5E44-46DF-9788-F10B66823EE5}" type="VALUE">
                  <a:rPr lang="en-US" baseline="0"/>
                  <a:pPr>
                    <a:defRPr sz="1400" b="1"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6058727608151497"/>
                  <c:h val="0.10108252753325432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0">
                <a:srgbClr val="0B3142"/>
              </a:gs>
              <a:gs pos="77140">
                <a:srgbClr val="2EBE70"/>
              </a:gs>
              <a:gs pos="0">
                <a:srgbClr val="000000"/>
              </a:gs>
              <a:gs pos="95000">
                <a:srgbClr val="00B050"/>
              </a:gs>
            </a:gsLst>
            <a:lin ang="5400000" scaled="1"/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rgbClr val="0B3142"/>
                </a:gs>
                <a:gs pos="77140">
                  <a:srgbClr val="2EBE70"/>
                </a:gs>
                <a:gs pos="0">
                  <a:srgbClr val="000000"/>
                </a:gs>
                <a:gs pos="95000">
                  <a:srgbClr val="00B050"/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0.29555359295336253"/>
              <c:y val="-2.0799190765873406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lang="en-US"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39131C95-E181-4635-9374-2931A3551DF1}" type="CATEGORYNAME">
                  <a:rPr lang="en-US"/>
                  <a:pPr>
                    <a:defRPr sz="1400" b="1">
                      <a:solidFill>
                        <a:schemeClr val="bg1"/>
                      </a:solidFill>
                    </a:defRPr>
                  </a:pPr>
                  <a:t>[NOME DA CATEGORIA]</a:t>
                </a:fld>
                <a:endParaRPr lang="en-US" baseline="0"/>
              </a:p>
              <a:p>
                <a:pPr>
                  <a:defRPr sz="1400" b="1">
                    <a:solidFill>
                      <a:schemeClr val="bg1"/>
                    </a:solidFill>
                  </a:defRPr>
                </a:pPr>
                <a:fld id="{7CF2F678-896A-4552-9B10-25B00827E297}" type="VALUE">
                  <a:rPr lang="en-US" baseline="0"/>
                  <a:pPr>
                    <a:defRPr sz="1400" b="1"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308052803722442"/>
                  <c:h val="0.10940285898381237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7787869556483145"/>
          <c:y val="1.608737535751205E-3"/>
          <c:w val="0.57079592812267199"/>
          <c:h val="0.92097191155845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'TABELAS DINÂMICAS'!$E$3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rgbClr val="0B3142"/>
                </a:gs>
                <a:gs pos="77140">
                  <a:srgbClr val="2EBE70"/>
                </a:gs>
                <a:gs pos="0">
                  <a:srgbClr val="000000"/>
                </a:gs>
                <a:gs pos="95000">
                  <a:srgbClr val="00B050"/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0">
                    <a:srgbClr val="0B3142"/>
                  </a:gs>
                  <a:gs pos="77140">
                    <a:srgbClr val="2EBE70"/>
                  </a:gs>
                  <a:gs pos="0">
                    <a:srgbClr val="000000"/>
                  </a:gs>
                  <a:gs pos="95000">
                    <a:srgbClr val="00B050"/>
                  </a:gs>
                </a:gsLst>
                <a:lin ang="5400000" scaled="1"/>
              </a:gra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0">
                    <a:srgbClr val="0B3142"/>
                  </a:gs>
                  <a:gs pos="77140">
                    <a:srgbClr val="2EBE70"/>
                  </a:gs>
                  <a:gs pos="0">
                    <a:srgbClr val="000000"/>
                  </a:gs>
                  <a:gs pos="95000">
                    <a:srgbClr val="00B050"/>
                  </a:gs>
                </a:gsLst>
                <a:lin ang="5400000" scaled="1"/>
              </a:gra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0">
                      <a:srgbClr val="0B3142"/>
                    </a:gs>
                    <a:gs pos="77140">
                      <a:srgbClr val="2EBE70"/>
                    </a:gs>
                    <a:gs pos="0">
                      <a:srgbClr val="000000"/>
                    </a:gs>
                    <a:gs pos="95000">
                      <a:srgbClr val="00B050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32F1-4724-A3C8-C582B7844559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0">
                    <a:srgbClr val="0B3142"/>
                  </a:gs>
                  <a:gs pos="77140">
                    <a:srgbClr val="2EBE70"/>
                  </a:gs>
                  <a:gs pos="0">
                    <a:srgbClr val="000000"/>
                  </a:gs>
                  <a:gs pos="95000">
                    <a:srgbClr val="00B050"/>
                  </a:gs>
                </a:gsLst>
                <a:lin ang="5400000" scaled="1"/>
              </a:gra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0">
                      <a:srgbClr val="0B3142"/>
                    </a:gs>
                    <a:gs pos="77140">
                      <a:srgbClr val="2EBE70"/>
                    </a:gs>
                    <a:gs pos="0">
                      <a:srgbClr val="000000"/>
                    </a:gs>
                    <a:gs pos="95000">
                      <a:srgbClr val="00B050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F1-4724-A3C8-C582B7844559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0">
                    <a:srgbClr val="0B3142"/>
                  </a:gs>
                  <a:gs pos="77140">
                    <a:srgbClr val="2EBE70"/>
                  </a:gs>
                  <a:gs pos="0">
                    <a:srgbClr val="000000"/>
                  </a:gs>
                  <a:gs pos="95000">
                    <a:srgbClr val="00B050"/>
                  </a:gs>
                </a:gsLst>
                <a:lin ang="5400000" scaled="1"/>
              </a:gra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0">
                      <a:srgbClr val="0B3142"/>
                    </a:gs>
                    <a:gs pos="77140">
                      <a:srgbClr val="2EBE70"/>
                    </a:gs>
                    <a:gs pos="0">
                      <a:srgbClr val="000000"/>
                    </a:gs>
                    <a:gs pos="95000">
                      <a:srgbClr val="00B050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2F1-4724-A3C8-C582B7844559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0">
                    <a:srgbClr val="0B3142"/>
                  </a:gs>
                  <a:gs pos="77140">
                    <a:srgbClr val="2EBE70"/>
                  </a:gs>
                  <a:gs pos="0">
                    <a:srgbClr val="000000"/>
                  </a:gs>
                  <a:gs pos="95000">
                    <a:srgbClr val="00B050"/>
                  </a:gs>
                </a:gsLst>
                <a:lin ang="5400000" scaled="1"/>
              </a:gra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0">
                      <a:srgbClr val="0B3142"/>
                    </a:gs>
                    <a:gs pos="77140">
                      <a:srgbClr val="2EBE70"/>
                    </a:gs>
                    <a:gs pos="0">
                      <a:srgbClr val="000000"/>
                    </a:gs>
                    <a:gs pos="95000">
                      <a:srgbClr val="00B050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F1-4724-A3C8-C582B7844559}"/>
              </c:ext>
            </c:extLst>
          </c:dPt>
          <c:dLbls>
            <c:dLbl>
              <c:idx val="0"/>
              <c:layout>
                <c:manualLayout>
                  <c:x val="-0.27393307974312431"/>
                  <c:y val="-2.288091148903466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en-US" sz="14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D21A1E7-C6A1-4BB8-9768-4F79959467EE}" type="CATEGORYNAME">
                      <a:rPr lang="en-US"/>
                      <a:pPr>
                        <a:defRPr sz="1400" b="1">
                          <a:solidFill>
                            <a:schemeClr val="bg1"/>
                          </a:solidFill>
                        </a:defRPr>
                      </a:pPr>
                      <a:t>[NOME DA CATEGORIA]</a:t>
                    </a:fld>
                    <a:endParaRPr lang="en-US" baseline="0"/>
                  </a:p>
                  <a:p>
                    <a:pPr>
                      <a:defRPr sz="1400" b="1">
                        <a:solidFill>
                          <a:schemeClr val="bg1"/>
                        </a:solidFill>
                      </a:defRPr>
                    </a:pPr>
                    <a:r>
                      <a:rPr lang="en-US" baseline="0"/>
                      <a:t> </a:t>
                    </a:r>
                    <a:fld id="{ED41D21F-2F01-4AF0-B889-5DF55B4C4CB4}" type="VALUE">
                      <a:rPr lang="en-US" baseline="0"/>
                      <a:pPr>
                        <a:defRPr sz="1400" b="1">
                          <a:solidFill>
                            <a:schemeClr val="bg1"/>
                          </a:solidFill>
                        </a:defRPr>
                      </a:pPr>
                      <a:t>[VALOR]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105499399416863"/>
                      <c:h val="0.1073227761211728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2F1-4724-A3C8-C582B7844559}"/>
                </c:ext>
              </c:extLst>
            </c:dLbl>
            <c:dLbl>
              <c:idx val="1"/>
              <c:layout>
                <c:manualLayout>
                  <c:x val="-0.29554927497265759"/>
                  <c:y val="-1.040041431319758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ctr" rtl="0">
                      <a:defRPr lang="en-US" sz="1400" b="1" i="0" u="none" strike="noStrike" kern="1200" baseline="0">
                        <a:solidFill>
                          <a:sysClr val="window" lastClr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A0BC3DC-EC87-4389-8855-D702F886038A}" type="CATEGORYNAME">
                      <a:rPr lang="en-US" sz="1400" b="1" i="0" u="none" strike="noStrike" kern="1200" baseline="0">
                        <a:solidFill>
                          <a:sysClr val="window" lastClr="FFFFFF"/>
                        </a:solidFill>
                        <a:latin typeface="+mn-lt"/>
                        <a:ea typeface="+mn-ea"/>
                        <a:cs typeface="+mn-cs"/>
                      </a:rPr>
                      <a:pPr algn="ctr" rtl="0">
                        <a:defRPr sz="1400" b="1">
                          <a:solidFill>
                            <a:sysClr val="window" lastClr="FFFFFF"/>
                          </a:solidFill>
                        </a:defRPr>
                      </a:pPr>
                      <a:t>[NOME DA CATEGORIA]</a:t>
                    </a:fld>
                    <a:endParaRPr lang="en-US" sz="1400" b="1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endParaRPr>
                  </a:p>
                  <a:p>
                    <a:pPr algn="ctr" rtl="0">
                      <a:defRPr sz="1400" b="1">
                        <a:solidFill>
                          <a:sysClr val="window" lastClr="FFFFFF"/>
                        </a:solidFill>
                      </a:defRPr>
                    </a:pPr>
                    <a:r>
                      <a:rPr lang="en-US" sz="1400" b="1" i="0" u="none" strike="noStrike" kern="1200" baseline="0">
                        <a:solidFill>
                          <a:sysClr val="window" lastClr="FFFFFF"/>
                        </a:solidFill>
                        <a:latin typeface="+mn-lt"/>
                        <a:ea typeface="+mn-ea"/>
                        <a:cs typeface="+mn-cs"/>
                      </a:rPr>
                      <a:t> </a:t>
                    </a:r>
                    <a:fld id="{BE6405E6-EDDA-4E11-ACB0-579FD84BEA65}" type="VALUE">
                      <a:rPr lang="en-US" sz="1400" b="1" i="0" u="none" strike="noStrike" kern="1200" baseline="0">
                        <a:solidFill>
                          <a:sysClr val="window" lastClr="FFFFFF"/>
                        </a:solidFill>
                        <a:latin typeface="+mn-lt"/>
                        <a:ea typeface="+mn-ea"/>
                        <a:cs typeface="+mn-cs"/>
                      </a:rPr>
                      <a:pPr algn="ctr" rtl="0">
                        <a:defRPr sz="1400" b="1">
                          <a:solidFill>
                            <a:sysClr val="window" lastClr="FFFFFF"/>
                          </a:solidFill>
                        </a:defRPr>
                      </a:pPr>
                      <a:t>[VALOR]</a:t>
                    </a:fld>
                    <a:endParaRPr lang="en-US" sz="1400" b="1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069359436198384"/>
                      <c:h val="0.1052426932585333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2F1-4724-A3C8-C582B7844559}"/>
                </c:ext>
              </c:extLst>
            </c:dLbl>
            <c:dLbl>
              <c:idx val="2"/>
              <c:layout>
                <c:manualLayout>
                  <c:x val="-0.30540473008878344"/>
                  <c:y val="-1.04004143131974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en-US" sz="14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7729F4E-B26F-4C6F-A496-F7E5E7870FD3}" type="CATEGORYNAME">
                      <a:rPr lang="en-US"/>
                      <a:pPr>
                        <a:defRPr sz="1400" b="1">
                          <a:solidFill>
                            <a:schemeClr val="bg1"/>
                          </a:solidFill>
                        </a:defRPr>
                      </a:pPr>
                      <a:t>[NOME DA CATEGORIA]</a:t>
                    </a:fld>
                    <a:endParaRPr lang="en-US" baseline="0"/>
                  </a:p>
                  <a:p>
                    <a:pPr>
                      <a:defRPr sz="1400" b="1">
                        <a:solidFill>
                          <a:schemeClr val="bg1"/>
                        </a:solidFill>
                      </a:defRPr>
                    </a:pPr>
                    <a:fld id="{53395334-5E44-46DF-9788-F10B66823EE5}" type="VALUE">
                      <a:rPr lang="en-US" baseline="0"/>
                      <a:pPr>
                        <a:defRPr sz="1400" b="1">
                          <a:solidFill>
                            <a:schemeClr val="bg1"/>
                          </a:solidFill>
                        </a:defRPr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058727608151497"/>
                      <c:h val="0.1010825275332543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2F1-4724-A3C8-C582B7844559}"/>
                </c:ext>
              </c:extLst>
            </c:dLbl>
            <c:dLbl>
              <c:idx val="3"/>
              <c:layout>
                <c:manualLayout>
                  <c:x val="-0.29555359295336253"/>
                  <c:y val="-2.079919076587340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en-US" sz="14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131C95-E181-4635-9374-2931A3551DF1}" type="CATEGORYNAME">
                      <a:rPr lang="en-US"/>
                      <a:pPr>
                        <a:defRPr sz="1400" b="1">
                          <a:solidFill>
                            <a:schemeClr val="bg1"/>
                          </a:solidFill>
                        </a:defRPr>
                      </a:pPr>
                      <a:t>[NOME DA CATEGORIA]</a:t>
                    </a:fld>
                    <a:endParaRPr lang="en-US" baseline="0"/>
                  </a:p>
                  <a:p>
                    <a:pPr>
                      <a:defRPr sz="1400" b="1">
                        <a:solidFill>
                          <a:schemeClr val="bg1"/>
                        </a:solidFill>
                      </a:defRPr>
                    </a:pPr>
                    <a:fld id="{7CF2F678-896A-4552-9B10-25B00827E297}" type="VALUE">
                      <a:rPr lang="en-US" baseline="0"/>
                      <a:pPr>
                        <a:defRPr sz="1400" b="1">
                          <a:solidFill>
                            <a:schemeClr val="bg1"/>
                          </a:solidFill>
                        </a:defRPr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08052803722442"/>
                      <c:h val="0.1094028589838123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2F1-4724-A3C8-C582B78445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AO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'TABELAS DINÂMICAS'!$D$4:$D$8</c:f>
              <c:strCache>
                <c:ptCount val="4"/>
                <c:pt idx="0">
                  <c:v>Alice</c:v>
                </c:pt>
                <c:pt idx="1">
                  <c:v>Barney</c:v>
                </c:pt>
                <c:pt idx="2">
                  <c:v>Carol</c:v>
                </c:pt>
                <c:pt idx="3">
                  <c:v>David</c:v>
                </c:pt>
              </c:strCache>
            </c:strRef>
          </c:cat>
          <c:val>
            <c:numRef>
              <c:f>'TABELAS DINÂMICAS'!$E$4:$E$8</c:f>
              <c:numCache>
                <c:formatCode>"R$"\ #,##0.00</c:formatCode>
                <c:ptCount val="4"/>
                <c:pt idx="0">
                  <c:v>114334</c:v>
                </c:pt>
                <c:pt idx="1">
                  <c:v>110433</c:v>
                </c:pt>
                <c:pt idx="2">
                  <c:v>110141</c:v>
                </c:pt>
                <c:pt idx="3">
                  <c:v>106614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4-440D-816C-2A29EA83D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8908256"/>
        <c:axId val="60584528"/>
      </c:barChart>
      <c:catAx>
        <c:axId val="128908256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60584528"/>
        <c:crosses val="autoZero"/>
        <c:auto val="1"/>
        <c:lblAlgn val="ctr"/>
        <c:lblOffset val="100"/>
        <c:noMultiLvlLbl val="0"/>
      </c:catAx>
      <c:valAx>
        <c:axId val="60584528"/>
        <c:scaling>
          <c:orientation val="minMax"/>
        </c:scaling>
        <c:delete val="1"/>
        <c:axPos val="t"/>
        <c:numFmt formatCode="&quot;R$&quot;\ #,##0.00" sourceLinked="1"/>
        <c:majorTickMark val="none"/>
        <c:minorTickMark val="none"/>
        <c:tickLblPos val="nextTo"/>
        <c:crossAx val="1289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AO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[PROJECTO_01_Dashboard_Executivo_de_Vendas (1).xlsx]TABELAS DINÂMICAS!TABELA DE VENDAS</c:name>
    <c:fmtId val="11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060060060060424E-3"/>
              <c:y val="-3.9151712887438767E-2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002002002002002E-3"/>
              <c:y val="-3.2626427406199322E-3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080080080080079E-3"/>
              <c:y val="-1.1962885186002473E-16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060060060060424E-3"/>
              <c:y val="-3.9151712887438767E-2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002002002002002E-3"/>
              <c:y val="-3.2626427406199322E-3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080080080080079E-3"/>
              <c:y val="-1.1962885186002473E-16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>
            <a:solidFill>
              <a:schemeClr val="lt1"/>
            </a:solidFill>
          </a:ln>
          <a:scene3d>
            <a:camera prst="orthographicFront"/>
            <a:lightRig rig="threePt" dir="t"/>
          </a:scene3d>
          <a:sp3d>
            <a:bevelB w="152400" h="50800" prst="softRound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400" b="1">
                  <a:solidFill>
                    <a:schemeClr val="tx1"/>
                  </a:solidFill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4D22"/>
          </a:solidFill>
          <a:ln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B w="152400" h="50800" prst="softRound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400" b="1">
                  <a:solidFill>
                    <a:schemeClr val="bg1"/>
                  </a:solidFill>
                </a:defRPr>
              </a:pPr>
              <a:endParaRPr lang="pt-A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F5FF"/>
          </a:solidFill>
          <a:ln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B w="152400" h="50800" prst="softRound"/>
          </a:sp3d>
        </c:spPr>
      </c:pivotFmt>
      <c:pivotFmt>
        <c:idx val="13"/>
        <c:spPr>
          <a:solidFill>
            <a:srgbClr val="4A4A4A"/>
          </a:solidFill>
          <a:ln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B w="152400" h="50800" prst="softRound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400" b="1">
                  <a:solidFill>
                    <a:schemeClr val="bg1"/>
                  </a:solidFill>
                </a:defRPr>
              </a:pPr>
              <a:endParaRPr lang="pt-A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E0E0E0"/>
          </a:solidFill>
          <a:ln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>
            <a:bevelB w="152400" h="50800" prst="softRound"/>
          </a:sp3d>
        </c:spPr>
      </c:pivotFmt>
    </c:pivotFmts>
    <c:plotArea>
      <c:layout>
        <c:manualLayout>
          <c:layoutTarget val="inner"/>
          <c:xMode val="edge"/>
          <c:yMode val="edge"/>
          <c:x val="0.22089143679172943"/>
          <c:y val="0.12398312276494733"/>
          <c:w val="0.6107128848291391"/>
          <c:h val="0.76173441684027998"/>
        </c:manualLayout>
      </c:layout>
      <c:doughnutChart>
        <c:varyColors val="1"/>
        <c:ser>
          <c:idx val="0"/>
          <c:order val="0"/>
          <c:tx>
            <c:strRef>
              <c:f>'TABELAS DINÂMICAS'!$B$3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lt1"/>
              </a:solidFill>
            </a:ln>
            <a:scene3d>
              <a:camera prst="orthographicFront"/>
              <a:lightRig rig="threePt" dir="t"/>
            </a:scene3d>
            <a:sp3d>
              <a:bevelB w="152400" h="50800" prst="softRound"/>
            </a:sp3d>
          </c:spPr>
          <c:explosion val="24"/>
          <c:dPt>
            <c:idx val="0"/>
            <c:bubble3D val="0"/>
            <c:spPr>
              <a:solidFill>
                <a:srgbClr val="1B4D22"/>
              </a:solidFill>
              <a:ln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B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1-1C51-45DC-8F2D-31FC656C71C9}"/>
              </c:ext>
            </c:extLst>
          </c:dPt>
          <c:dPt>
            <c:idx val="1"/>
            <c:bubble3D val="0"/>
            <c:spPr>
              <a:solidFill>
                <a:srgbClr val="00F5FF"/>
              </a:solidFill>
              <a:ln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B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3-1C51-45DC-8F2D-31FC656C71C9}"/>
              </c:ext>
            </c:extLst>
          </c:dPt>
          <c:dPt>
            <c:idx val="2"/>
            <c:bubble3D val="0"/>
            <c:spPr>
              <a:solidFill>
                <a:srgbClr val="4A4A4A"/>
              </a:solidFill>
              <a:ln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B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5-1C51-45DC-8F2D-31FC656C71C9}"/>
              </c:ext>
            </c:extLst>
          </c:dPt>
          <c:dPt>
            <c:idx val="3"/>
            <c:bubble3D val="0"/>
            <c:spPr>
              <a:solidFill>
                <a:srgbClr val="E0E0E0"/>
              </a:solidFill>
              <a:ln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B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7-1C51-45DC-8F2D-31FC656C71C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400" b="1">
                      <a:solidFill>
                        <a:schemeClr val="bg1"/>
                      </a:solidFill>
                    </a:defRPr>
                  </a:pPr>
                  <a:endParaRPr lang="pt-AO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51-45DC-8F2D-31FC656C71C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400" b="1">
                      <a:solidFill>
                        <a:schemeClr val="bg1"/>
                      </a:solidFill>
                    </a:defRPr>
                  </a:pPr>
                  <a:endParaRPr lang="pt-AO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51-45DC-8F2D-31FC656C7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tx1"/>
                    </a:solidFill>
                  </a:defRPr>
                </a:pPr>
                <a:endParaRPr lang="pt-A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'TABELAS DINÂMICAS'!$A$4:$A$8</c:f>
              <c:strCache>
                <c:ptCount val="4"/>
                <c:pt idx="0">
                  <c:v>Games</c:v>
                </c:pt>
                <c:pt idx="1">
                  <c:v>Clothing</c:v>
                </c:pt>
                <c:pt idx="2">
                  <c:v>Music</c:v>
                </c:pt>
                <c:pt idx="3">
                  <c:v>Books</c:v>
                </c:pt>
              </c:strCache>
            </c:strRef>
          </c:cat>
          <c:val>
            <c:numRef>
              <c:f>'TABELAS DINÂMICAS'!$B$4:$B$8</c:f>
              <c:numCache>
                <c:formatCode>"R$"\ #,##0.00</c:formatCode>
                <c:ptCount val="4"/>
                <c:pt idx="0">
                  <c:v>149204</c:v>
                </c:pt>
                <c:pt idx="1">
                  <c:v>116619</c:v>
                </c:pt>
                <c:pt idx="2">
                  <c:v>105948</c:v>
                </c:pt>
                <c:pt idx="3">
                  <c:v>69751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51-45DC-8F2D-31FC656C71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39"/>
        <c:holeSize val="53"/>
      </c:doughnutChart>
      <c:spPr>
        <a:noFill/>
        <a:ln>
          <a:noFill/>
        </a:ln>
        <a:effectLst/>
        <a:scene3d>
          <a:camera prst="orthographicFront"/>
          <a:lightRig rig="threePt" dir="t"/>
        </a:scene3d>
        <a:sp3d>
          <a:bevelB h="6350"/>
        </a:sp3d>
      </c:spPr>
    </c:plotArea>
    <c:legend>
      <c:legendPos val="t"/>
      <c:layout>
        <c:manualLayout>
          <c:xMode val="edge"/>
          <c:yMode val="edge"/>
          <c:x val="0.11030479800167893"/>
          <c:y val="4.7965838793526963E-2"/>
          <c:w val="0.77939040399664217"/>
          <c:h val="8.4563686635194951E-2"/>
        </c:manualLayout>
      </c:layout>
      <c:overlay val="0"/>
      <c:txPr>
        <a:bodyPr/>
        <a:lstStyle/>
        <a:p>
          <a:pPr>
            <a:defRPr sz="1400" b="1">
              <a:solidFill>
                <a:schemeClr val="bg1"/>
              </a:solidFill>
            </a:defRPr>
          </a:pPr>
          <a:endParaRPr lang="pt-A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AO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[PROJECTO_01_Dashboard_Executivo_de_Vendas (1).xlsx]TABELAS DINÂMICAS!Tabela dE VENDAS POR VENDEDOR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0E0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F5FF"/>
          </a:solidFill>
          <a:ln>
            <a:solidFill>
              <a:schemeClr val="bg1">
                <a:alpha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1B4D22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4A4A4A"/>
          </a:solidFill>
          <a:ln>
            <a:solidFill>
              <a:schemeClr val="bg1">
                <a:alpha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F5FF"/>
          </a:solidFill>
          <a:ln>
            <a:solidFill>
              <a:schemeClr val="bg1">
                <a:alpha val="60000"/>
              </a:schemeClr>
            </a:solidFill>
          </a:ln>
          <a:effectLst/>
        </c:spPr>
      </c:pivotFmt>
      <c:pivotFmt>
        <c:idx val="13"/>
        <c:spPr>
          <a:solidFill>
            <a:srgbClr val="E0E0E0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1746010032324805E-2"/>
          <c:y val="0.13006075322388724"/>
          <c:w val="0.94181073577346419"/>
          <c:h val="0.74579175885911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'TABELAS DINÂMICAS'!$E$11:$E$12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rgbClr val="E0E0E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0E0E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9A-43F5-AF44-8B7BF1B2FA65}"/>
              </c:ext>
            </c:extLst>
          </c:dPt>
          <c:cat>
            <c:strRef>
              <c:f>'TABELAS DINÂMICAS'!$D$13:$D$17</c:f>
              <c:strCache>
                <c:ptCount val="4"/>
                <c:pt idx="0">
                  <c:v>Alice</c:v>
                </c:pt>
                <c:pt idx="1">
                  <c:v>Barney</c:v>
                </c:pt>
                <c:pt idx="2">
                  <c:v>Carol</c:v>
                </c:pt>
                <c:pt idx="3">
                  <c:v>David</c:v>
                </c:pt>
              </c:strCache>
            </c:strRef>
          </c:cat>
          <c:val>
            <c:numRef>
              <c:f>'TABELAS DINÂMICAS'!$E$13:$E$17</c:f>
              <c:numCache>
                <c:formatCode>"R$"\ #,##0.00</c:formatCode>
                <c:ptCount val="4"/>
                <c:pt idx="0">
                  <c:v>16715</c:v>
                </c:pt>
                <c:pt idx="1">
                  <c:v>18617</c:v>
                </c:pt>
                <c:pt idx="2">
                  <c:v>16311</c:v>
                </c:pt>
                <c:pt idx="3">
                  <c:v>18108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2-497E-A5BA-B815A108420C}"/>
            </c:ext>
          </c:extLst>
        </c:ser>
        <c:ser>
          <c:idx val="1"/>
          <c:order val="1"/>
          <c:tx>
            <c:strRef>
              <c:f>'TABELAS DINÂMICAS'!$F$11:$F$12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00F5FF"/>
            </a:solidFill>
            <a:ln>
              <a:solidFill>
                <a:schemeClr val="bg1">
                  <a:alpha val="60000"/>
                </a:schemeClr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F5FF"/>
              </a:solidFill>
              <a:ln>
                <a:solidFill>
                  <a:schemeClr val="bg1">
                    <a:alpha val="60000"/>
                  </a:schemeClr>
                </a:solidFill>
              </a:ln>
              <a:effectLst/>
            </c:spPr>
          </c:dPt>
          <c:cat>
            <c:strRef>
              <c:f>'TABELAS DINÂMICAS'!$D$13:$D$17</c:f>
              <c:strCache>
                <c:ptCount val="4"/>
                <c:pt idx="0">
                  <c:v>Alice</c:v>
                </c:pt>
                <c:pt idx="1">
                  <c:v>Barney</c:v>
                </c:pt>
                <c:pt idx="2">
                  <c:v>Carol</c:v>
                </c:pt>
                <c:pt idx="3">
                  <c:v>David</c:v>
                </c:pt>
              </c:strCache>
            </c:strRef>
          </c:cat>
          <c:val>
            <c:numRef>
              <c:f>'TABELAS DINÂMICAS'!$F$13:$F$17</c:f>
              <c:numCache>
                <c:formatCode>"R$"\ #,##0.00</c:formatCode>
                <c:ptCount val="4"/>
                <c:pt idx="0">
                  <c:v>33216</c:v>
                </c:pt>
                <c:pt idx="1">
                  <c:v>29273</c:v>
                </c:pt>
                <c:pt idx="2">
                  <c:v>26250</c:v>
                </c:pt>
                <c:pt idx="3">
                  <c:v>27880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CF-46C2-9191-6C3AD5966280}"/>
            </c:ext>
          </c:extLst>
        </c:ser>
        <c:ser>
          <c:idx val="2"/>
          <c:order val="2"/>
          <c:tx>
            <c:strRef>
              <c:f>'TABELAS DINÂMICAS'!$G$11:$G$12</c:f>
              <c:strCache>
                <c:ptCount val="1"/>
                <c:pt idx="0">
                  <c:v>Games</c:v>
                </c:pt>
              </c:strCache>
            </c:strRef>
          </c:tx>
          <c:spPr>
            <a:solidFill>
              <a:srgbClr val="1B4D2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A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DINÂMICAS'!$D$13:$D$17</c:f>
              <c:strCache>
                <c:ptCount val="4"/>
                <c:pt idx="0">
                  <c:v>Alice</c:v>
                </c:pt>
                <c:pt idx="1">
                  <c:v>Barney</c:v>
                </c:pt>
                <c:pt idx="2">
                  <c:v>Carol</c:v>
                </c:pt>
                <c:pt idx="3">
                  <c:v>David</c:v>
                </c:pt>
              </c:strCache>
            </c:strRef>
          </c:cat>
          <c:val>
            <c:numRef>
              <c:f>'TABELAS DINÂMICAS'!$G$13:$G$17</c:f>
              <c:numCache>
                <c:formatCode>"R$"\ #,##0.00</c:formatCode>
                <c:ptCount val="4"/>
                <c:pt idx="0">
                  <c:v>40079</c:v>
                </c:pt>
                <c:pt idx="1">
                  <c:v>34208</c:v>
                </c:pt>
                <c:pt idx="2">
                  <c:v>41694</c:v>
                </c:pt>
                <c:pt idx="3">
                  <c:v>33223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CF-46C2-9191-6C3AD5966280}"/>
            </c:ext>
          </c:extLst>
        </c:ser>
        <c:ser>
          <c:idx val="3"/>
          <c:order val="3"/>
          <c:tx>
            <c:strRef>
              <c:f>'TABELAS DINÂMICAS'!$H$11:$H$12</c:f>
              <c:strCache>
                <c:ptCount val="1"/>
                <c:pt idx="0">
                  <c:v>Music</c:v>
                </c:pt>
              </c:strCache>
            </c:strRef>
          </c:tx>
          <c:spPr>
            <a:solidFill>
              <a:srgbClr val="4A4A4A"/>
            </a:solidFill>
            <a:ln>
              <a:solidFill>
                <a:schemeClr val="bg1">
                  <a:alpha val="60000"/>
                </a:schemeClr>
              </a:solidFill>
            </a:ln>
            <a:effectLst/>
          </c:spPr>
          <c:invertIfNegative val="0"/>
          <c:cat>
            <c:strRef>
              <c:f>'TABELAS DINÂMICAS'!$D$13:$D$17</c:f>
              <c:strCache>
                <c:ptCount val="4"/>
                <c:pt idx="0">
                  <c:v>Alice</c:v>
                </c:pt>
                <c:pt idx="1">
                  <c:v>Barney</c:v>
                </c:pt>
                <c:pt idx="2">
                  <c:v>Carol</c:v>
                </c:pt>
                <c:pt idx="3">
                  <c:v>David</c:v>
                </c:pt>
              </c:strCache>
            </c:strRef>
          </c:cat>
          <c:val>
            <c:numRef>
              <c:f>'TABELAS DINÂMICAS'!$H$13:$H$17</c:f>
              <c:numCache>
                <c:formatCode>"R$"\ #,##0.00</c:formatCode>
                <c:ptCount val="4"/>
                <c:pt idx="0">
                  <c:v>24324</c:v>
                </c:pt>
                <c:pt idx="1">
                  <c:v>28335</c:v>
                </c:pt>
                <c:pt idx="2">
                  <c:v>25886</c:v>
                </c:pt>
                <c:pt idx="3">
                  <c:v>27403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CF-46C2-9191-6C3AD5966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84774351"/>
        <c:axId val="1284775311"/>
      </c:barChart>
      <c:catAx>
        <c:axId val="128477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284775311"/>
        <c:crosses val="autoZero"/>
        <c:auto val="1"/>
        <c:lblAlgn val="ctr"/>
        <c:lblOffset val="100"/>
        <c:noMultiLvlLbl val="0"/>
      </c:catAx>
      <c:valAx>
        <c:axId val="1284775311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28477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A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AO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!A1"/><Relationship Id="rId2" Type="http://schemas.openxmlformats.org/officeDocument/2006/relationships/hyperlink" Target="#'DADOS LIMPOS'!A1"/><Relationship Id="rId1" Type="http://schemas.openxmlformats.org/officeDocument/2006/relationships/hyperlink" Target="#'LIMPEZA E PREPARA&#199;&#195;O'!A1"/><Relationship Id="rId5" Type="http://schemas.openxmlformats.org/officeDocument/2006/relationships/hyperlink" Target="#'TABELAS DIN&#194;MICAS'!A1"/><Relationship Id="rId4" Type="http://schemas.openxmlformats.org/officeDocument/2006/relationships/hyperlink" Target="#'DADOS BRUTOS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INTRO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hyperlink" Target="#DASH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hyperlink" Target="#'DADOS LIMPOS'!A1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hyperlink" Target="#INTRO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INTRO!A1"/><Relationship Id="rId3" Type="http://schemas.openxmlformats.org/officeDocument/2006/relationships/chart" Target="../charts/chart6.xml"/><Relationship Id="rId7" Type="http://schemas.openxmlformats.org/officeDocument/2006/relationships/image" Target="../media/image8.png"/><Relationship Id="rId2" Type="http://schemas.openxmlformats.org/officeDocument/2006/relationships/chart" Target="../charts/chart5.xml"/><Relationship Id="rId1" Type="http://schemas.openxmlformats.org/officeDocument/2006/relationships/image" Target="../media/image6.PNG"/><Relationship Id="rId6" Type="http://schemas.openxmlformats.org/officeDocument/2006/relationships/image" Target="../media/image7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1</xdr:row>
      <xdr:rowOff>155966</xdr:rowOff>
    </xdr:from>
    <xdr:to>
      <xdr:col>27</xdr:col>
      <xdr:colOff>11140</xdr:colOff>
      <xdr:row>30</xdr:row>
      <xdr:rowOff>139701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BEA609E4-B1FD-BF34-B40E-538630D55431}"/>
            </a:ext>
          </a:extLst>
        </xdr:cNvPr>
        <xdr:cNvSpPr/>
      </xdr:nvSpPr>
      <xdr:spPr>
        <a:xfrm>
          <a:off x="279400" y="345352"/>
          <a:ext cx="16275161" cy="5475928"/>
        </a:xfrm>
        <a:prstGeom prst="roundRect">
          <a:avLst/>
        </a:prstGeom>
        <a:solidFill>
          <a:schemeClr val="tx1">
            <a:alpha val="7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597245</xdr:colOff>
      <xdr:row>2</xdr:row>
      <xdr:rowOff>22121</xdr:rowOff>
    </xdr:from>
    <xdr:to>
      <xdr:col>20</xdr:col>
      <xdr:colOff>597245</xdr:colOff>
      <xdr:row>6</xdr:row>
      <xdr:rowOff>1066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33EAFFC-DBE1-98F7-59B0-AA2294F208A3}"/>
            </a:ext>
          </a:extLst>
        </xdr:cNvPr>
        <xdr:cNvSpPr/>
      </xdr:nvSpPr>
      <xdr:spPr>
        <a:xfrm>
          <a:off x="3638090" y="397755"/>
          <a:ext cx="9122535" cy="730212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0B3142"/>
            </a:gs>
            <a:gs pos="0">
              <a:srgbClr val="000000"/>
            </a:gs>
            <a:gs pos="47000">
              <a:srgbClr val="00B050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+mn-lt"/>
              <a:ea typeface="+mn-ea"/>
              <a:cs typeface="+mn-cs"/>
            </a:rPr>
            <a:t>PROJETO 01</a:t>
          </a:r>
        </a:p>
        <a:p>
          <a:pPr marL="0" indent="0" algn="ctr"/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DASHBOARD </a:t>
          </a:r>
          <a:r>
            <a:rPr lang="pt-BR" sz="20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EXECUTIVO </a:t>
          </a:r>
          <a:r>
            <a:rPr lang="pt-BR" sz="2000" b="1">
              <a:solidFill>
                <a:schemeClr val="lt1"/>
              </a:solidFill>
              <a:latin typeface="+mn-lt"/>
              <a:ea typeface="+mn-ea"/>
              <a:cs typeface="+mn-cs"/>
            </a:rPr>
            <a:t>DE VENDAS</a:t>
          </a:r>
        </a:p>
      </xdr:txBody>
    </xdr:sp>
    <xdr:clientData/>
  </xdr:twoCellAnchor>
  <xdr:twoCellAnchor>
    <xdr:from>
      <xdr:col>19</xdr:col>
      <xdr:colOff>359714</xdr:colOff>
      <xdr:row>12</xdr:row>
      <xdr:rowOff>33805</xdr:rowOff>
    </xdr:from>
    <xdr:to>
      <xdr:col>24</xdr:col>
      <xdr:colOff>112064</xdr:colOff>
      <xdr:row>16</xdr:row>
      <xdr:rowOff>40156</xdr:rowOff>
    </xdr:to>
    <xdr:sp macro="" textlink="">
      <xdr:nvSpPr>
        <xdr:cNvPr id="5" name="Hexágon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F2C5EC-D5B8-4318-A882-BF6EE91F5CCD}"/>
            </a:ext>
          </a:extLst>
        </xdr:cNvPr>
        <xdr:cNvSpPr/>
      </xdr:nvSpPr>
      <xdr:spPr>
        <a:xfrm>
          <a:off x="11914925" y="2287608"/>
          <a:ext cx="2793195" cy="757618"/>
        </a:xfrm>
        <a:prstGeom prst="hexagon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0B3142"/>
            </a:gs>
            <a:gs pos="77000">
              <a:srgbClr val="2EBE70"/>
            </a:gs>
            <a:gs pos="0">
              <a:srgbClr val="000000"/>
            </a:gs>
            <a:gs pos="95000">
              <a:srgbClr val="00B050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400" b="1">
            <a:solidFill>
              <a:schemeClr val="bg1"/>
            </a:solidFill>
          </a:endParaRPr>
        </a:p>
        <a:p>
          <a:pPr algn="ctr"/>
          <a:r>
            <a:rPr lang="pt-BR" sz="1400" b="1">
              <a:solidFill>
                <a:schemeClr val="bg1"/>
              </a:solidFill>
            </a:rPr>
            <a:t>LIMPEZA</a:t>
          </a:r>
          <a:r>
            <a:rPr lang="pt-BR" sz="1400" b="1" baseline="0">
              <a:solidFill>
                <a:schemeClr val="bg1"/>
              </a:solidFill>
            </a:rPr>
            <a:t> E PREPARAÇÃO</a:t>
          </a:r>
          <a:endParaRPr lang="pt-BR" sz="1100"/>
        </a:p>
      </xdr:txBody>
    </xdr:sp>
    <xdr:clientData/>
  </xdr:twoCellAnchor>
  <xdr:twoCellAnchor>
    <xdr:from>
      <xdr:col>19</xdr:col>
      <xdr:colOff>379659</xdr:colOff>
      <xdr:row>17</xdr:row>
      <xdr:rowOff>143456</xdr:rowOff>
    </xdr:from>
    <xdr:to>
      <xdr:col>24</xdr:col>
      <xdr:colOff>134155</xdr:colOff>
      <xdr:row>21</xdr:row>
      <xdr:rowOff>53661</xdr:rowOff>
    </xdr:to>
    <xdr:sp macro="" textlink="">
      <xdr:nvSpPr>
        <xdr:cNvPr id="7" name="Hexágon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F22885-068E-4E37-92FD-6A4AB8DB3555}"/>
            </a:ext>
          </a:extLst>
        </xdr:cNvPr>
        <xdr:cNvSpPr/>
      </xdr:nvSpPr>
      <xdr:spPr>
        <a:xfrm>
          <a:off x="11934870" y="3336343"/>
          <a:ext cx="2795341" cy="661473"/>
        </a:xfrm>
        <a:prstGeom prst="hexagon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0B3142"/>
            </a:gs>
            <a:gs pos="77000">
              <a:srgbClr val="2EBE70"/>
            </a:gs>
            <a:gs pos="0">
              <a:srgbClr val="000000"/>
            </a:gs>
            <a:gs pos="95000">
              <a:srgbClr val="00B050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chemeClr val="bg1"/>
              </a:solidFill>
            </a:rPr>
            <a:t>  Dados</a:t>
          </a:r>
          <a:r>
            <a:rPr lang="pt-BR" sz="1400" b="1" baseline="0">
              <a:solidFill>
                <a:schemeClr val="bg1"/>
              </a:solidFill>
            </a:rPr>
            <a:t> Tratados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116983</xdr:colOff>
      <xdr:row>23</xdr:row>
      <xdr:rowOff>1163</xdr:rowOff>
    </xdr:from>
    <xdr:to>
      <xdr:col>25</xdr:col>
      <xdr:colOff>167783</xdr:colOff>
      <xdr:row>27</xdr:row>
      <xdr:rowOff>80493</xdr:rowOff>
    </xdr:to>
    <xdr:sp macro="" textlink="">
      <xdr:nvSpPr>
        <xdr:cNvPr id="8" name="Hexágon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72B262-848E-4BDF-B7E5-EBCE551D0116}"/>
            </a:ext>
          </a:extLst>
        </xdr:cNvPr>
        <xdr:cNvSpPr/>
      </xdr:nvSpPr>
      <xdr:spPr>
        <a:xfrm>
          <a:off x="13496701" y="4320952"/>
          <a:ext cx="1875307" cy="830597"/>
        </a:xfrm>
        <a:prstGeom prst="hexagon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0B3142"/>
            </a:gs>
            <a:gs pos="77000">
              <a:srgbClr val="2EBE70"/>
            </a:gs>
            <a:gs pos="0">
              <a:srgbClr val="000000"/>
            </a:gs>
            <a:gs pos="95000">
              <a:srgbClr val="00B050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  <a:p>
          <a:pPr algn="ctr"/>
          <a:r>
            <a:rPr lang="pt-BR" sz="1400" b="1">
              <a:solidFill>
                <a:schemeClr val="bg1"/>
              </a:solidFill>
            </a:rPr>
            <a:t>DASHBORD</a:t>
          </a:r>
        </a:p>
      </xdr:txBody>
    </xdr:sp>
    <xdr:clientData/>
  </xdr:twoCellAnchor>
  <xdr:twoCellAnchor>
    <xdr:from>
      <xdr:col>19</xdr:col>
      <xdr:colOff>381088</xdr:colOff>
      <xdr:row>7</xdr:row>
      <xdr:rowOff>147212</xdr:rowOff>
    </xdr:from>
    <xdr:to>
      <xdr:col>24</xdr:col>
      <xdr:colOff>101688</xdr:colOff>
      <xdr:row>11</xdr:row>
      <xdr:rowOff>153562</xdr:rowOff>
    </xdr:to>
    <xdr:sp macro="" textlink="">
      <xdr:nvSpPr>
        <xdr:cNvPr id="9" name="Hexágon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56DE9E-BF64-41EC-BA92-24618EF490AD}"/>
            </a:ext>
          </a:extLst>
        </xdr:cNvPr>
        <xdr:cNvSpPr/>
      </xdr:nvSpPr>
      <xdr:spPr>
        <a:xfrm>
          <a:off x="11936299" y="1461930"/>
          <a:ext cx="2761445" cy="757618"/>
        </a:xfrm>
        <a:prstGeom prst="hexagon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0B3142"/>
            </a:gs>
            <a:gs pos="77000">
              <a:srgbClr val="2EBE70"/>
            </a:gs>
            <a:gs pos="0">
              <a:srgbClr val="000000"/>
            </a:gs>
            <a:gs pos="95000">
              <a:srgbClr val="00B050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  <a:p>
          <a:pPr algn="ctr"/>
          <a:r>
            <a:rPr lang="pt-BR" sz="1400" b="1">
              <a:solidFill>
                <a:schemeClr val="bg1"/>
              </a:solidFill>
            </a:rPr>
            <a:t>DADOS BRUTOS</a:t>
          </a:r>
        </a:p>
      </xdr:txBody>
    </xdr:sp>
    <xdr:clientData/>
  </xdr:twoCellAnchor>
  <xdr:twoCellAnchor>
    <xdr:from>
      <xdr:col>18</xdr:col>
      <xdr:colOff>78703</xdr:colOff>
      <xdr:row>22</xdr:row>
      <xdr:rowOff>168499</xdr:rowOff>
    </xdr:from>
    <xdr:to>
      <xdr:col>21</xdr:col>
      <xdr:colOff>474013</xdr:colOff>
      <xdr:row>27</xdr:row>
      <xdr:rowOff>98381</xdr:rowOff>
    </xdr:to>
    <xdr:sp macro="" textlink="">
      <xdr:nvSpPr>
        <xdr:cNvPr id="10" name="Hexágon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6DD3BDF-AC90-4B5F-AB3A-54AB59D980B4}"/>
            </a:ext>
          </a:extLst>
        </xdr:cNvPr>
        <xdr:cNvSpPr/>
      </xdr:nvSpPr>
      <xdr:spPr>
        <a:xfrm>
          <a:off x="11025745" y="4300471"/>
          <a:ext cx="2219817" cy="868966"/>
        </a:xfrm>
        <a:prstGeom prst="hexagon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0B3142"/>
            </a:gs>
            <a:gs pos="77000">
              <a:srgbClr val="2EBE70"/>
            </a:gs>
            <a:gs pos="0">
              <a:srgbClr val="000000"/>
            </a:gs>
            <a:gs pos="95000">
              <a:srgbClr val="00B050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0" baseline="0">
              <a:solidFill>
                <a:schemeClr val="bg1"/>
              </a:solidFill>
            </a:rPr>
            <a:t>   </a:t>
          </a:r>
          <a:r>
            <a:rPr lang="pt-BR" sz="1400" b="1">
              <a:solidFill>
                <a:schemeClr val="bg1"/>
              </a:solidFill>
            </a:rPr>
            <a:t>TABELAS</a:t>
          </a:r>
          <a:r>
            <a:rPr lang="pt-BR" sz="1400" b="1" baseline="0">
              <a:solidFill>
                <a:schemeClr val="bg1"/>
              </a:solidFill>
            </a:rPr>
            <a:t>  DINÂMICAS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417669</xdr:colOff>
      <xdr:row>8</xdr:row>
      <xdr:rowOff>35506</xdr:rowOff>
    </xdr:from>
    <xdr:to>
      <xdr:col>7</xdr:col>
      <xdr:colOff>393521</xdr:colOff>
      <xdr:row>17</xdr:row>
      <xdr:rowOff>118057</xdr:rowOff>
    </xdr:to>
    <xdr:sp macro="" textlink="">
      <xdr:nvSpPr>
        <xdr:cNvPr id="13" name="Hexágono 12">
          <a:extLst>
            <a:ext uri="{FF2B5EF4-FFF2-40B4-BE49-F238E27FC236}">
              <a16:creationId xmlns:a16="http://schemas.microsoft.com/office/drawing/2014/main" id="{E2E58201-B7FD-4E90-810B-868479143BC4}"/>
            </a:ext>
          </a:extLst>
        </xdr:cNvPr>
        <xdr:cNvSpPr/>
      </xdr:nvSpPr>
      <xdr:spPr>
        <a:xfrm>
          <a:off x="417669" y="1538041"/>
          <a:ext cx="4233035" cy="1772903"/>
        </a:xfrm>
        <a:prstGeom prst="hexagon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0B3142"/>
            </a:gs>
            <a:gs pos="77000">
              <a:srgbClr val="2EBE70"/>
            </a:gs>
            <a:gs pos="0">
              <a:srgbClr val="000000"/>
            </a:gs>
            <a:gs pos="95000">
              <a:srgbClr val="00B050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chemeClr val="bg1"/>
              </a:solidFill>
            </a:rPr>
            <a:t>OBJECTIVO</a:t>
          </a:r>
        </a:p>
        <a:p>
          <a:pPr algn="ctr"/>
          <a:endParaRPr lang="pt-BR" sz="1400" b="1">
            <a:solidFill>
              <a:schemeClr val="bg1"/>
            </a:solidFill>
          </a:endParaRPr>
        </a:p>
        <a:p>
          <a:pPr algn="ctr"/>
          <a:r>
            <a:rPr lang="pt-BR" sz="1200" b="1">
              <a:solidFill>
                <a:schemeClr val="bg1"/>
              </a:solidFill>
            </a:rPr>
            <a:t>DESENVOLVER</a:t>
          </a:r>
          <a:r>
            <a:rPr lang="pt-BR" sz="1200" b="1" baseline="0">
              <a:solidFill>
                <a:schemeClr val="bg1"/>
              </a:solidFill>
            </a:rPr>
            <a:t> UM DASHBOARD INTERATIVO EM EXCEL PARA ANÁLISE DE VENDAS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438239</xdr:colOff>
      <xdr:row>18</xdr:row>
      <xdr:rowOff>31750</xdr:rowOff>
    </xdr:from>
    <xdr:to>
      <xdr:col>7</xdr:col>
      <xdr:colOff>366690</xdr:colOff>
      <xdr:row>27</xdr:row>
      <xdr:rowOff>114300</xdr:rowOff>
    </xdr:to>
    <xdr:sp macro="" textlink="">
      <xdr:nvSpPr>
        <xdr:cNvPr id="14" name="Hexágono 13">
          <a:extLst>
            <a:ext uri="{FF2B5EF4-FFF2-40B4-BE49-F238E27FC236}">
              <a16:creationId xmlns:a16="http://schemas.microsoft.com/office/drawing/2014/main" id="{CC3F9AD2-F5D8-4D06-9FD4-612BBE4B936B}"/>
            </a:ext>
          </a:extLst>
        </xdr:cNvPr>
        <xdr:cNvSpPr/>
      </xdr:nvSpPr>
      <xdr:spPr>
        <a:xfrm>
          <a:off x="438239" y="3412454"/>
          <a:ext cx="4185634" cy="1772902"/>
        </a:xfrm>
        <a:prstGeom prst="hexagon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0B3142"/>
            </a:gs>
            <a:gs pos="77000">
              <a:srgbClr val="2EBE70"/>
            </a:gs>
            <a:gs pos="0">
              <a:srgbClr val="000000"/>
            </a:gs>
            <a:gs pos="95000">
              <a:srgbClr val="00B050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chemeClr val="bg1"/>
              </a:solidFill>
            </a:rPr>
            <a:t>FERRAMENTA</a:t>
          </a:r>
          <a:r>
            <a:rPr lang="pt-BR" sz="1400" b="1" baseline="0">
              <a:solidFill>
                <a:schemeClr val="bg1"/>
              </a:solidFill>
            </a:rPr>
            <a:t> UTILIZADA</a:t>
          </a:r>
          <a:endParaRPr lang="pt-BR" sz="1400" b="1">
            <a:solidFill>
              <a:schemeClr val="bg1"/>
            </a:solidFill>
          </a:endParaRPr>
        </a:p>
        <a:p>
          <a:pPr algn="ctr"/>
          <a:endParaRPr lang="pt-BR" sz="1400" b="1">
            <a:solidFill>
              <a:schemeClr val="bg1"/>
            </a:solidFill>
          </a:endParaRPr>
        </a:p>
        <a:p>
          <a:pPr algn="ctr"/>
          <a:r>
            <a:rPr lang="pt-BR" sz="1200" b="1">
              <a:solidFill>
                <a:schemeClr val="bg1"/>
              </a:solidFill>
            </a:rPr>
            <a:t>MICROSOFT</a:t>
          </a:r>
          <a:r>
            <a:rPr lang="pt-BR" sz="1200" b="1" baseline="0">
              <a:solidFill>
                <a:schemeClr val="bg1"/>
              </a:solidFill>
            </a:rPr>
            <a:t> </a:t>
          </a:r>
          <a:r>
            <a:rPr lang="pt-BR" sz="1200" b="1">
              <a:solidFill>
                <a:schemeClr val="bg1"/>
              </a:solidFill>
            </a:rPr>
            <a:t>EXCEL</a:t>
          </a:r>
        </a:p>
        <a:p>
          <a:pPr algn="ctr"/>
          <a:r>
            <a:rPr lang="pt-BR" sz="1200" b="1">
              <a:solidFill>
                <a:schemeClr val="bg1"/>
              </a:solidFill>
            </a:rPr>
            <a:t>TABELAS DINÂMICAS</a:t>
          </a:r>
        </a:p>
        <a:p>
          <a:pPr algn="ctr"/>
          <a:r>
            <a:rPr lang="pt-BR" sz="1200" b="1">
              <a:solidFill>
                <a:schemeClr val="bg1"/>
              </a:solidFill>
            </a:rPr>
            <a:t>FÓRMULAS</a:t>
          </a:r>
          <a:r>
            <a:rPr lang="pt-BR" sz="1200" b="1" baseline="0">
              <a:solidFill>
                <a:schemeClr val="bg1"/>
              </a:solidFill>
            </a:rPr>
            <a:t> AVANÇADAS</a:t>
          </a:r>
        </a:p>
        <a:p>
          <a:pPr algn="ctr"/>
          <a:r>
            <a:rPr lang="pt-BR" sz="1200" b="1" baseline="0">
              <a:solidFill>
                <a:schemeClr val="bg1"/>
              </a:solidFill>
            </a:rPr>
            <a:t>SEGMENTAÇÃO DE DADOS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592428</xdr:colOff>
      <xdr:row>7</xdr:row>
      <xdr:rowOff>139968</xdr:rowOff>
    </xdr:from>
    <xdr:to>
      <xdr:col>17</xdr:col>
      <xdr:colOff>509788</xdr:colOff>
      <xdr:row>25</xdr:row>
      <xdr:rowOff>143098</xdr:rowOff>
    </xdr:to>
    <xdr:sp macro="" textlink="">
      <xdr:nvSpPr>
        <xdr:cNvPr id="16" name="Hexágono 15">
          <a:extLst>
            <a:ext uri="{FF2B5EF4-FFF2-40B4-BE49-F238E27FC236}">
              <a16:creationId xmlns:a16="http://schemas.microsoft.com/office/drawing/2014/main" id="{F2B02E71-24BE-4B41-8A84-29602BF5C701}"/>
            </a:ext>
          </a:extLst>
        </xdr:cNvPr>
        <xdr:cNvSpPr/>
      </xdr:nvSpPr>
      <xdr:spPr>
        <a:xfrm>
          <a:off x="5457780" y="1454686"/>
          <a:ext cx="5390881" cy="3383835"/>
        </a:xfrm>
        <a:prstGeom prst="hexagon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rgbClr val="0B3142"/>
            </a:gs>
            <a:gs pos="77000">
              <a:srgbClr val="2EBE70"/>
            </a:gs>
            <a:gs pos="0">
              <a:srgbClr val="000000"/>
            </a:gs>
            <a:gs pos="95000">
              <a:srgbClr val="00B050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chemeClr val="bg1"/>
              </a:solidFill>
            </a:rPr>
            <a:t>ETAPAS DO PROJECTO</a:t>
          </a:r>
        </a:p>
        <a:p>
          <a:pPr algn="l"/>
          <a:r>
            <a:rPr lang="pt-BR" sz="1200" b="1">
              <a:solidFill>
                <a:schemeClr val="bg1"/>
              </a:solidFill>
            </a:rPr>
            <a:t>1-PROCESSO ETL</a:t>
          </a:r>
        </a:p>
        <a:p>
          <a:pPr algn="l"/>
          <a:r>
            <a:rPr lang="pt-BR" sz="1200" b="1">
              <a:solidFill>
                <a:schemeClr val="bg1"/>
              </a:solidFill>
            </a:rPr>
            <a:t>    a</a:t>
          </a:r>
          <a:r>
            <a:rPr lang="pt-BR" sz="1200" b="1" i="1">
              <a:solidFill>
                <a:schemeClr val="bg1"/>
              </a:solidFill>
            </a:rPr>
            <a:t>)</a:t>
          </a:r>
          <a:r>
            <a:rPr lang="pt-BR" sz="1200" b="1" i="1" baseline="0">
              <a:solidFill>
                <a:schemeClr val="bg1"/>
              </a:solidFill>
            </a:rPr>
            <a:t> </a:t>
          </a:r>
          <a:r>
            <a:rPr lang="pt-BR" sz="1200" b="1" i="1">
              <a:solidFill>
                <a:schemeClr val="bg1"/>
              </a:solidFill>
            </a:rPr>
            <a:t>EXTRACT: IMPORTAÇÃO DA BASE DE DADOS</a:t>
          </a:r>
        </a:p>
        <a:p>
          <a:pPr algn="l"/>
          <a:r>
            <a:rPr lang="pt-BR" sz="1200" b="1" i="1">
              <a:solidFill>
                <a:schemeClr val="bg1"/>
              </a:solidFill>
            </a:rPr>
            <a:t>    b) TRANSFORM: LIMPEZA</a:t>
          </a:r>
          <a:r>
            <a:rPr lang="pt-BR" sz="1200" b="1" i="1" baseline="0">
              <a:solidFill>
                <a:schemeClr val="bg1"/>
              </a:solidFill>
            </a:rPr>
            <a:t> E PREPARAÇÃO DOS DADOS , INCLUINDO REMOÇÃO DE CARÁCTERES NÃO IMPRIMIVEIS, TRATAMENTO DE INCONSITÊNCIA E PADRONIZAÇÃO DAS INFORMAÇÕES.</a:t>
          </a:r>
        </a:p>
        <a:p>
          <a:pPr algn="l"/>
          <a:r>
            <a:rPr lang="pt-BR" sz="1200" b="1" i="1" baseline="0">
              <a:solidFill>
                <a:schemeClr val="bg1"/>
              </a:solidFill>
            </a:rPr>
            <a:t>   c) LOAD: ORGANIZAÇÃO DA BASE TRATADA PARA A CONSTRUÇÃO DO DASHBOARD E DAS ANALISES.</a:t>
          </a:r>
        </a:p>
        <a:p>
          <a:pPr algn="l"/>
          <a:endParaRPr lang="pt-BR" sz="1200" b="1" baseline="0">
            <a:solidFill>
              <a:schemeClr val="bg1"/>
            </a:solidFill>
          </a:endParaRPr>
        </a:p>
        <a:p>
          <a:pPr algn="l"/>
          <a:r>
            <a:rPr lang="pt-BR" sz="1200" b="1" baseline="0">
              <a:solidFill>
                <a:schemeClr val="bg1"/>
              </a:solidFill>
            </a:rPr>
            <a:t>2-CRIAÇÃO DE GRÁFICOS E TABELAS DINÂMICAS.</a:t>
          </a:r>
        </a:p>
        <a:p>
          <a:pPr algn="l"/>
          <a:endParaRPr lang="pt-BR" sz="1200" b="1" baseline="0">
            <a:solidFill>
              <a:schemeClr val="bg1"/>
            </a:solidFill>
          </a:endParaRPr>
        </a:p>
        <a:p>
          <a:pPr algn="l"/>
          <a:r>
            <a:rPr lang="pt-BR" sz="1200" b="1" baseline="0">
              <a:solidFill>
                <a:schemeClr val="bg1"/>
              </a:solidFill>
            </a:rPr>
            <a:t>3-DESENVOLIVIMETNO DO DASHBOARD INTERATIVO.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474</xdr:row>
      <xdr:rowOff>0</xdr:rowOff>
    </xdr:from>
    <xdr:to>
      <xdr:col>3</xdr:col>
      <xdr:colOff>691540</xdr:colOff>
      <xdr:row>477</xdr:row>
      <xdr:rowOff>139090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544419-AEB1-4391-88F3-6456B6C25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450" y="87287100"/>
          <a:ext cx="691540" cy="691540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1371600</xdr:colOff>
      <xdr:row>474</xdr:row>
      <xdr:rowOff>6350</xdr:rowOff>
    </xdr:from>
    <xdr:to>
      <xdr:col>3</xdr:col>
      <xdr:colOff>1943100</xdr:colOff>
      <xdr:row>477</xdr:row>
      <xdr:rowOff>141674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B0DB175-5D69-4E83-8D9F-1DE90416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1050" y="87293450"/>
          <a:ext cx="571500" cy="687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44450</xdr:colOff>
      <xdr:row>27</xdr:row>
      <xdr:rowOff>38100</xdr:rowOff>
    </xdr:from>
    <xdr:to>
      <xdr:col>9</xdr:col>
      <xdr:colOff>6350</xdr:colOff>
      <xdr:row>31</xdr:row>
      <xdr:rowOff>12473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0EE5D5-B36A-4F4C-BB22-1697714DB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546850" y="5010150"/>
          <a:ext cx="571500" cy="7109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100140</xdr:colOff>
      <xdr:row>25</xdr:row>
      <xdr:rowOff>98980</xdr:rowOff>
    </xdr:from>
    <xdr:to>
      <xdr:col>4</xdr:col>
      <xdr:colOff>1506780</xdr:colOff>
      <xdr:row>34</xdr:row>
      <xdr:rowOff>64577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7D27EF4-B636-E87D-F199-2AA7BBA06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150677</xdr:colOff>
      <xdr:row>0</xdr:row>
      <xdr:rowOff>86101</xdr:rowOff>
    </xdr:from>
    <xdr:to>
      <xdr:col>8</xdr:col>
      <xdr:colOff>742628</xdr:colOff>
      <xdr:row>9</xdr:row>
      <xdr:rowOff>150678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2F55BC7-1638-A64D-663D-5F59C03F9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1235688</xdr:colOff>
      <xdr:row>37</xdr:row>
      <xdr:rowOff>49655</xdr:rowOff>
    </xdr:from>
    <xdr:to>
      <xdr:col>7</xdr:col>
      <xdr:colOff>83412</xdr:colOff>
      <xdr:row>49</xdr:row>
      <xdr:rowOff>81405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9E1EC66-8740-0ED4-EC52-4B2EE68FD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304800</xdr:colOff>
      <xdr:row>2</xdr:row>
      <xdr:rowOff>44450</xdr:rowOff>
    </xdr:from>
    <xdr:to>
      <xdr:col>13</xdr:col>
      <xdr:colOff>901700</xdr:colOff>
      <xdr:row>5</xdr:row>
      <xdr:rowOff>50800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F1914B0-05F0-94E6-F8FF-BC0CE3C9176D}"/>
            </a:ext>
          </a:extLst>
        </xdr:cNvPr>
        <xdr:cNvSpPr/>
      </xdr:nvSpPr>
      <xdr:spPr>
        <a:xfrm>
          <a:off x="11442700" y="412750"/>
          <a:ext cx="277495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 baseline="0">
              <a:solidFill>
                <a:schemeClr val="tx1"/>
              </a:solidFill>
            </a:rPr>
            <a:t>TOTAL DAS VENDAS  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57150</xdr:colOff>
      <xdr:row>3</xdr:row>
      <xdr:rowOff>19050</xdr:rowOff>
    </xdr:from>
    <xdr:to>
      <xdr:col>14</xdr:col>
      <xdr:colOff>44450</xdr:colOff>
      <xdr:row>6</xdr:row>
      <xdr:rowOff>25400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D7C4F180-1DFE-4F3D-96F5-AD5311F63F84}"/>
            </a:ext>
          </a:extLst>
        </xdr:cNvPr>
        <xdr:cNvSpPr/>
      </xdr:nvSpPr>
      <xdr:spPr>
        <a:xfrm>
          <a:off x="10769600" y="571500"/>
          <a:ext cx="277495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 baseline="0">
              <a:solidFill>
                <a:schemeClr val="tx1"/>
              </a:solidFill>
            </a:rPr>
            <a:t>TOTAL DAS VENDAS  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482600</xdr:colOff>
      <xdr:row>8</xdr:row>
      <xdr:rowOff>31750</xdr:rowOff>
    </xdr:from>
    <xdr:to>
      <xdr:col>13</xdr:col>
      <xdr:colOff>469900</xdr:colOff>
      <xdr:row>11</xdr:row>
      <xdr:rowOff>38100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8A8B9D52-DC80-DB3E-05C8-54C7CB61E9BC}"/>
            </a:ext>
          </a:extLst>
        </xdr:cNvPr>
        <xdr:cNvSpPr/>
      </xdr:nvSpPr>
      <xdr:spPr>
        <a:xfrm>
          <a:off x="10356850" y="1504950"/>
          <a:ext cx="277495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 baseline="0">
              <a:solidFill>
                <a:schemeClr val="tx1"/>
              </a:solidFill>
            </a:rPr>
            <a:t> 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190780</xdr:colOff>
      <xdr:row>7</xdr:row>
      <xdr:rowOff>64386</xdr:rowOff>
    </xdr:from>
    <xdr:to>
      <xdr:col>11</xdr:col>
      <xdr:colOff>540377</xdr:colOff>
      <xdr:row>15</xdr:row>
      <xdr:rowOff>3608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SALES PERSON">
              <a:extLst>
                <a:ext uri="{FF2B5EF4-FFF2-40B4-BE49-F238E27FC236}">
                  <a16:creationId xmlns:a16="http://schemas.microsoft.com/office/drawing/2014/main" id="{DBC99D64-FCBF-D6F4-47D8-2EC1F658A3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3238" y="1345149"/>
              <a:ext cx="1834851" cy="14029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679450</xdr:colOff>
      <xdr:row>2</xdr:row>
      <xdr:rowOff>165100</xdr:rowOff>
    </xdr:from>
    <xdr:to>
      <xdr:col>15</xdr:col>
      <xdr:colOff>247650</xdr:colOff>
      <xdr:row>6</xdr:row>
      <xdr:rowOff>95250</xdr:rowOff>
    </xdr:to>
    <xdr:sp macro="" textlink="$G$23">
      <xdr:nvSpPr>
        <xdr:cNvPr id="39" name="Retângulo: Cantos Arredondados 38">
          <a:extLst>
            <a:ext uri="{FF2B5EF4-FFF2-40B4-BE49-F238E27FC236}">
              <a16:creationId xmlns:a16="http://schemas.microsoft.com/office/drawing/2014/main" id="{7753B0E5-537A-FC09-5A26-7E25BC27DCAD}"/>
            </a:ext>
          </a:extLst>
        </xdr:cNvPr>
        <xdr:cNvSpPr/>
      </xdr:nvSpPr>
      <xdr:spPr>
        <a:xfrm>
          <a:off x="13995400" y="533400"/>
          <a:ext cx="2006600" cy="666750"/>
        </a:xfrm>
        <a:prstGeom prst="roundRect">
          <a:avLst>
            <a:gd name="adj" fmla="val 29841"/>
          </a:avLst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8C2A6B62-A0D9-48B9-9678-D74E76A80733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496</a:t>
          </a:fld>
          <a:endParaRPr lang="pt-BR" sz="18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819150</xdr:colOff>
      <xdr:row>3</xdr:row>
      <xdr:rowOff>69850</xdr:rowOff>
    </xdr:from>
    <xdr:to>
      <xdr:col>15</xdr:col>
      <xdr:colOff>95250</xdr:colOff>
      <xdr:row>6</xdr:row>
      <xdr:rowOff>76200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AC4A3727-2BE5-4A62-992E-1785B7E7AEE8}"/>
            </a:ext>
          </a:extLst>
        </xdr:cNvPr>
        <xdr:cNvSpPr/>
      </xdr:nvSpPr>
      <xdr:spPr>
        <a:xfrm>
          <a:off x="14135100" y="622300"/>
          <a:ext cx="171450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 baseline="0">
              <a:solidFill>
                <a:schemeClr val="tx1"/>
              </a:solidFill>
            </a:rPr>
            <a:t>NÚMERO DE TRANSAÇÕES  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584200</xdr:colOff>
      <xdr:row>3</xdr:row>
      <xdr:rowOff>19050</xdr:rowOff>
    </xdr:from>
    <xdr:to>
      <xdr:col>18</xdr:col>
      <xdr:colOff>241300</xdr:colOff>
      <xdr:row>6</xdr:row>
      <xdr:rowOff>171450</xdr:rowOff>
    </xdr:to>
    <xdr:sp macro="" textlink="$Q$16">
      <xdr:nvSpPr>
        <xdr:cNvPr id="53" name="Retângulo: Cantos Arredondados 52">
          <a:extLst>
            <a:ext uri="{FF2B5EF4-FFF2-40B4-BE49-F238E27FC236}">
              <a16:creationId xmlns:a16="http://schemas.microsoft.com/office/drawing/2014/main" id="{1188F7A0-D125-D2C8-0AB2-F6F98EF3D7EC}"/>
            </a:ext>
          </a:extLst>
        </xdr:cNvPr>
        <xdr:cNvSpPr/>
      </xdr:nvSpPr>
      <xdr:spPr>
        <a:xfrm>
          <a:off x="16338550" y="571500"/>
          <a:ext cx="2444750" cy="704850"/>
        </a:xfrm>
        <a:prstGeom prst="roundRect">
          <a:avLst>
            <a:gd name="adj" fmla="val 29841"/>
          </a:avLst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5AF728F6-C66F-472F-9E54-0363A32CD17D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R$ 149.204 </a:t>
          </a:fld>
          <a:endParaRPr lang="pt-BR" sz="18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533400</xdr:colOff>
      <xdr:row>3</xdr:row>
      <xdr:rowOff>12700</xdr:rowOff>
    </xdr:from>
    <xdr:to>
      <xdr:col>18</xdr:col>
      <xdr:colOff>361950</xdr:colOff>
      <xdr:row>5</xdr:row>
      <xdr:rowOff>146050</xdr:rowOff>
    </xdr:to>
    <xdr:sp macro="" textlink="">
      <xdr:nvSpPr>
        <xdr:cNvPr id="55" name="Retângulo 54">
          <a:extLst>
            <a:ext uri="{FF2B5EF4-FFF2-40B4-BE49-F238E27FC236}">
              <a16:creationId xmlns:a16="http://schemas.microsoft.com/office/drawing/2014/main" id="{BE84E643-4F10-F902-18FC-AE5085956A7E}"/>
            </a:ext>
          </a:extLst>
        </xdr:cNvPr>
        <xdr:cNvSpPr/>
      </xdr:nvSpPr>
      <xdr:spPr>
        <a:xfrm>
          <a:off x="16287750" y="565150"/>
          <a:ext cx="2616200" cy="501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 baseline="0">
              <a:solidFill>
                <a:schemeClr val="tx1"/>
              </a:solidFill>
            </a:rPr>
            <a:t>PRODUTO MAIS VENDIDO  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543624</xdr:colOff>
      <xdr:row>3</xdr:row>
      <xdr:rowOff>115699</xdr:rowOff>
    </xdr:from>
    <xdr:to>
      <xdr:col>18</xdr:col>
      <xdr:colOff>302324</xdr:colOff>
      <xdr:row>6</xdr:row>
      <xdr:rowOff>122049</xdr:rowOff>
    </xdr:to>
    <xdr:sp macro="" textlink="$N$17">
      <xdr:nvSpPr>
        <xdr:cNvPr id="46" name="Retângulo 45">
          <a:extLst>
            <a:ext uri="{FF2B5EF4-FFF2-40B4-BE49-F238E27FC236}">
              <a16:creationId xmlns:a16="http://schemas.microsoft.com/office/drawing/2014/main" id="{DBF88E24-D300-4C2D-9DAB-13B0E37A3902}"/>
            </a:ext>
          </a:extLst>
        </xdr:cNvPr>
        <xdr:cNvSpPr/>
      </xdr:nvSpPr>
      <xdr:spPr>
        <a:xfrm>
          <a:off x="15019471" y="664597"/>
          <a:ext cx="2589294" cy="555249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A22BAD7-B87D-483D-B3CA-3BE5B6678A0E}" type="TxLink"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Games</a:t>
          </a:fld>
          <a:endParaRPr kumimoji="0" lang="pt-BR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915157</xdr:colOff>
      <xdr:row>2</xdr:row>
      <xdr:rowOff>177801</xdr:rowOff>
    </xdr:from>
    <xdr:to>
      <xdr:col>11</xdr:col>
      <xdr:colOff>440413</xdr:colOff>
      <xdr:row>6</xdr:row>
      <xdr:rowOff>158751</xdr:rowOff>
    </xdr:to>
    <xdr:sp macro="" textlink="$T$39">
      <xdr:nvSpPr>
        <xdr:cNvPr id="56" name="Retângulo: Cantos Arredondados 55">
          <a:extLst>
            <a:ext uri="{FF2B5EF4-FFF2-40B4-BE49-F238E27FC236}">
              <a16:creationId xmlns:a16="http://schemas.microsoft.com/office/drawing/2014/main" id="{F86A2FFC-40FD-4372-92F0-FF1358BBAEB2}"/>
            </a:ext>
          </a:extLst>
        </xdr:cNvPr>
        <xdr:cNvSpPr/>
      </xdr:nvSpPr>
      <xdr:spPr>
        <a:xfrm>
          <a:off x="8632021" y="543733"/>
          <a:ext cx="1936104" cy="712815"/>
        </a:xfrm>
        <a:prstGeom prst="roundRect">
          <a:avLst>
            <a:gd name="adj" fmla="val 29841"/>
          </a:avLst>
        </a:prstGeom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16FB3357-5C8C-4344-A7AC-FCFF26EB1B46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Alice</a:t>
          </a:fld>
          <a:endParaRPr lang="pt-BR" sz="18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254000</xdr:colOff>
      <xdr:row>3</xdr:row>
      <xdr:rowOff>139700</xdr:rowOff>
    </xdr:from>
    <xdr:to>
      <xdr:col>12</xdr:col>
      <xdr:colOff>69850</xdr:colOff>
      <xdr:row>6</xdr:row>
      <xdr:rowOff>146050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D14D2F28-A200-40C2-854E-4B4787BAB535}"/>
            </a:ext>
          </a:extLst>
        </xdr:cNvPr>
        <xdr:cNvSpPr/>
      </xdr:nvSpPr>
      <xdr:spPr>
        <a:xfrm>
          <a:off x="9042400" y="692150"/>
          <a:ext cx="3384550" cy="558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 baseline="0">
              <a:solidFill>
                <a:schemeClr val="tx1"/>
              </a:solidFill>
            </a:rPr>
            <a:t>MELHOR VENDEDOR 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222097</xdr:colOff>
      <xdr:row>23</xdr:row>
      <xdr:rowOff>107826</xdr:rowOff>
    </xdr:from>
    <xdr:to>
      <xdr:col>14</xdr:col>
      <xdr:colOff>24875</xdr:colOff>
      <xdr:row>33</xdr:row>
      <xdr:rowOff>99889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CBA820-7B92-3519-0026-E730F693B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738671</xdr:colOff>
      <xdr:row>6</xdr:row>
      <xdr:rowOff>150888</xdr:rowOff>
    </xdr:from>
    <xdr:to>
      <xdr:col>13</xdr:col>
      <xdr:colOff>328082</xdr:colOff>
      <xdr:row>14</xdr:row>
      <xdr:rowOff>116418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">
              <a:extLst>
                <a:ext uri="{FF2B5EF4-FFF2-40B4-BE49-F238E27FC236}">
                  <a16:creationId xmlns:a16="http://schemas.microsoft.com/office/drawing/2014/main" id="{8C439567-0DB6-F996-EFA1-F120E19192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66383" y="1248685"/>
              <a:ext cx="1763479" cy="14292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69849</xdr:colOff>
      <xdr:row>47</xdr:row>
      <xdr:rowOff>10763</xdr:rowOff>
    </xdr:from>
    <xdr:to>
      <xdr:col>9</xdr:col>
      <xdr:colOff>817966</xdr:colOff>
      <xdr:row>51</xdr:row>
      <xdr:rowOff>27016</xdr:rowOff>
    </xdr:to>
    <xdr:pic>
      <xdr:nvPicPr>
        <xdr:cNvPr id="7" name="Imagem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F243DF-CE1D-40CD-AF08-FB341A646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2307" y="8610170"/>
          <a:ext cx="748117" cy="748117"/>
        </a:xfrm>
        <a:prstGeom prst="rect">
          <a:avLst/>
        </a:prstGeom>
      </xdr:spPr>
    </xdr:pic>
    <xdr:clientData/>
  </xdr:twoCellAnchor>
  <xdr:twoCellAnchor editAs="oneCell">
    <xdr:from>
      <xdr:col>12</xdr:col>
      <xdr:colOff>178372</xdr:colOff>
      <xdr:row>46</xdr:row>
      <xdr:rowOff>139913</xdr:rowOff>
    </xdr:from>
    <xdr:to>
      <xdr:col>12</xdr:col>
      <xdr:colOff>947117</xdr:colOff>
      <xdr:row>51</xdr:row>
      <xdr:rowOff>64252</xdr:rowOff>
    </xdr:to>
    <xdr:pic>
      <xdr:nvPicPr>
        <xdr:cNvPr id="8" name="Imagem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7E6E70-8607-42A0-BE5C-5125B7904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2270" y="8556354"/>
          <a:ext cx="768745" cy="839169"/>
        </a:xfrm>
        <a:prstGeom prst="rect">
          <a:avLst/>
        </a:prstGeom>
      </xdr:spPr>
    </xdr:pic>
    <xdr:clientData/>
  </xdr:twoCellAnchor>
  <xdr:twoCellAnchor editAs="oneCell">
    <xdr:from>
      <xdr:col>11</xdr:col>
      <xdr:colOff>247543</xdr:colOff>
      <xdr:row>46</xdr:row>
      <xdr:rowOff>150676</xdr:rowOff>
    </xdr:from>
    <xdr:to>
      <xdr:col>11</xdr:col>
      <xdr:colOff>819043</xdr:colOff>
      <xdr:row>50</xdr:row>
      <xdr:rowOff>129785</xdr:rowOff>
    </xdr:to>
    <xdr:pic>
      <xdr:nvPicPr>
        <xdr:cNvPr id="9" name="Imagem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E644666-B8CB-4D2D-9C77-E8E91C685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375255" y="8567117"/>
          <a:ext cx="571500" cy="7109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86102</xdr:rowOff>
    </xdr:from>
    <xdr:to>
      <xdr:col>32</xdr:col>
      <xdr:colOff>441214</xdr:colOff>
      <xdr:row>53</xdr:row>
      <xdr:rowOff>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8C2CA75B-61E1-CF58-4268-19A3CBD6F535}"/>
            </a:ext>
          </a:extLst>
        </xdr:cNvPr>
        <xdr:cNvGrpSpPr/>
      </xdr:nvGrpSpPr>
      <xdr:grpSpPr>
        <a:xfrm>
          <a:off x="1828800" y="467102"/>
          <a:ext cx="18119614" cy="9629398"/>
          <a:chOff x="2219548" y="0"/>
          <a:chExt cx="17531711" cy="9653068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619DC0EA-167E-EDBB-C0F7-BE878DE3CF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19548" y="0"/>
            <a:ext cx="17531711" cy="9653068"/>
          </a:xfrm>
          <a:prstGeom prst="rect">
            <a:avLst/>
          </a:prstGeom>
          <a:noFill/>
          <a:ln>
            <a:noFill/>
          </a:ln>
        </xdr:spPr>
      </xdr:pic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VENDEDORES">
                <a:extLst>
                  <a:ext uri="{FF2B5EF4-FFF2-40B4-BE49-F238E27FC236}">
                    <a16:creationId xmlns:a16="http://schemas.microsoft.com/office/drawing/2014/main" id="{AC73F65F-353F-47F4-ACAE-1292EB9FDFD1}"/>
                  </a:ext>
                </a:extLst>
              </xdr:cNvPr>
              <xdr:cNvGraphicFramePr/>
            </xdr:nvGraphicFramePr>
            <xdr:xfrm>
              <a:off x="2605974" y="3492094"/>
              <a:ext cx="2282247" cy="2540000"/>
            </xdr:xfrm>
            <a:graphic>
              <a:graphicData uri="http://schemas.microsoft.com/office/drawing/2010/slicer">
                <sle:slicer xmlns:sle="http://schemas.microsoft.com/office/drawing/2010/slicer" name="VENDEDORE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242285" y="3796566"/>
                <a:ext cx="2373406" cy="243267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932F5B49-9FE1-4931-BFA5-9129EF01A1D6}"/>
              </a:ext>
            </a:extLst>
          </xdr:cNvPr>
          <xdr:cNvGraphicFramePr>
            <a:graphicFrameLocks/>
          </xdr:cNvGraphicFramePr>
        </xdr:nvGraphicFramePr>
        <xdr:xfrm>
          <a:off x="5110239" y="2420827"/>
          <a:ext cx="10558876" cy="32653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0" name="PRODUCT 1">
                <a:extLst>
                  <a:ext uri="{FF2B5EF4-FFF2-40B4-BE49-F238E27FC236}">
                    <a16:creationId xmlns:a16="http://schemas.microsoft.com/office/drawing/2014/main" id="{A1351176-1E6C-4718-BFC0-ABD915ACA054}"/>
                  </a:ext>
                </a:extLst>
              </xdr:cNvPr>
              <xdr:cNvGraphicFramePr/>
            </xdr:nvGraphicFramePr>
            <xdr:xfrm>
              <a:off x="2616324" y="6680046"/>
              <a:ext cx="2282247" cy="2540000"/>
            </xdr:xfrm>
            <a:graphic>
              <a:graphicData uri="http://schemas.microsoft.com/office/drawing/2010/slicer">
                <sle:slicer xmlns:sle="http://schemas.microsoft.com/office/drawing/2010/slicer" name="PRODUCT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253048" y="6849809"/>
                <a:ext cx="2373406" cy="243267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D900697D-B2F1-4EAC-97F5-D13137C0D7F4}"/>
              </a:ext>
            </a:extLst>
          </xdr:cNvPr>
          <xdr:cNvGraphicFramePr>
            <a:graphicFrameLocks/>
          </xdr:cNvGraphicFramePr>
        </xdr:nvGraphicFramePr>
        <xdr:xfrm>
          <a:off x="14720616" y="3265713"/>
          <a:ext cx="5010631" cy="63749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4F2C13DB-E964-4850-A8ED-8AC8B22014A5}"/>
              </a:ext>
            </a:extLst>
          </xdr:cNvPr>
          <xdr:cNvGraphicFramePr>
            <a:graphicFrameLocks/>
          </xdr:cNvGraphicFramePr>
        </xdr:nvGraphicFramePr>
        <xdr:xfrm>
          <a:off x="11046687" y="6135761"/>
          <a:ext cx="4323603" cy="33030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986AA1FD-EC54-40DD-AA0C-4258BCB0379F}"/>
              </a:ext>
            </a:extLst>
          </xdr:cNvPr>
          <xdr:cNvGraphicFramePr>
            <a:graphicFrameLocks/>
          </xdr:cNvGraphicFramePr>
        </xdr:nvGraphicFramePr>
        <xdr:xfrm>
          <a:off x="5357932" y="6424706"/>
          <a:ext cx="5412610" cy="30220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TABELAS DINÂMICAS'!T39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2D3FA8DB-F198-540F-0F1A-645E861EA0F7}"/>
              </a:ext>
            </a:extLst>
          </xdr:cNvPr>
          <xdr:cNvSpPr/>
        </xdr:nvSpPr>
        <xdr:spPr>
          <a:xfrm>
            <a:off x="8871323" y="1369608"/>
            <a:ext cx="1637748" cy="71326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1B5B91E1-FD1C-4DB9-A03A-694849D7B135}" type="TxLink">
              <a:rPr lang="en-US" sz="24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algn="ctr"/>
              <a:t>Alice</a:t>
            </a:fld>
            <a:endParaRPr lang="pt-BR" sz="2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'TABELAS DINÂMICAS'!G19">
        <xdr:nvSpPr>
          <xdr:cNvPr id="31" name="Retângulo 30">
            <a:extLst>
              <a:ext uri="{FF2B5EF4-FFF2-40B4-BE49-F238E27FC236}">
                <a16:creationId xmlns:a16="http://schemas.microsoft.com/office/drawing/2014/main" id="{E42C09D5-FCF8-E0F9-212C-6074D595A11B}"/>
              </a:ext>
            </a:extLst>
          </xdr:cNvPr>
          <xdr:cNvSpPr/>
        </xdr:nvSpPr>
        <xdr:spPr>
          <a:xfrm>
            <a:off x="3935400" y="1563487"/>
            <a:ext cx="2723207" cy="66346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fld id="{89F6E0B7-915E-4ED2-BB3F-D29A3C832230}" type="TxLink">
              <a:rPr lang="en-US" sz="24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marL="0" indent="0" algn="ctr"/>
              <a:t> R$ 441.522 </a:t>
            </a:fld>
            <a:endParaRPr lang="pt-BR" sz="24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endParaRPr>
          </a:p>
        </xdr:txBody>
      </xdr:sp>
      <xdr:sp macro="" textlink="'TABELAS DINÂMICAS'!Q16">
        <xdr:nvSpPr>
          <xdr:cNvPr id="32" name="Retângulo 31">
            <a:extLst>
              <a:ext uri="{FF2B5EF4-FFF2-40B4-BE49-F238E27FC236}">
                <a16:creationId xmlns:a16="http://schemas.microsoft.com/office/drawing/2014/main" id="{CEC3E7A8-8A6E-4438-A4F2-8AB613BE6265}"/>
              </a:ext>
            </a:extLst>
          </xdr:cNvPr>
          <xdr:cNvSpPr/>
        </xdr:nvSpPr>
        <xdr:spPr>
          <a:xfrm>
            <a:off x="12324122" y="1698100"/>
            <a:ext cx="2723207" cy="6634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fld id="{2DC4A3BE-254E-4C76-A6CC-9C2C7DF077BE}" type="TxLink">
              <a:rPr lang="en-US" sz="24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marL="0" indent="0" algn="ctr"/>
              <a:t> R$ 149.204 </a:t>
            </a:fld>
            <a:endParaRPr lang="pt-BR" sz="24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endParaRPr>
          </a:p>
        </xdr:txBody>
      </xdr:sp>
      <xdr:sp macro="" textlink="'TABELAS DINÂMICAS'!N17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F1575330-2D28-4344-B194-6B536D5F53EB}"/>
              </a:ext>
            </a:extLst>
          </xdr:cNvPr>
          <xdr:cNvSpPr/>
        </xdr:nvSpPr>
        <xdr:spPr>
          <a:xfrm>
            <a:off x="12983259" y="1203618"/>
            <a:ext cx="1635525" cy="713264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fld id="{D0F5EF1C-6CB7-4B73-AD34-4ADAD0EAE90E}" type="TxLink">
              <a:rPr lang="en-US" sz="20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marL="0" indent="0" algn="ctr"/>
              <a:t>Games</a:t>
            </a:fld>
            <a:endParaRPr lang="pt-BR" sz="20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endParaRPr>
          </a:p>
        </xdr:txBody>
      </xdr:sp>
      <xdr:sp macro="" textlink="'TABELAS DINÂMICAS'!G23">
        <xdr:nvSpPr>
          <xdr:cNvPr id="34" name="Retângulo 33">
            <a:extLst>
              <a:ext uri="{FF2B5EF4-FFF2-40B4-BE49-F238E27FC236}">
                <a16:creationId xmlns:a16="http://schemas.microsoft.com/office/drawing/2014/main" id="{09FF5E37-643F-4B75-9DD1-113D25291BA2}"/>
              </a:ext>
            </a:extLst>
          </xdr:cNvPr>
          <xdr:cNvSpPr/>
        </xdr:nvSpPr>
        <xdr:spPr>
          <a:xfrm>
            <a:off x="16619837" y="1469855"/>
            <a:ext cx="2723207" cy="6687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fld id="{F44C2526-7C9E-4C06-84EB-797762BE4C96}" type="TxLink">
              <a:rPr lang="en-US" sz="24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marL="0" indent="0" algn="ctr"/>
              <a:t>496</a:t>
            </a:fld>
            <a:endParaRPr lang="pt-BR" sz="24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endParaRPr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3FC75DE6-2374-6E32-D516-45F10453CB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49442" y="2902857"/>
            <a:ext cx="774450" cy="463527"/>
          </a:xfrm>
          <a:prstGeom prst="rect">
            <a:avLst/>
          </a:prstGeom>
        </xdr:spPr>
      </xdr:pic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F6090934-2B54-D1B6-51B1-3CD72F2AEA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49442" y="6102382"/>
            <a:ext cx="531399" cy="503894"/>
          </a:xfrm>
          <a:prstGeom prst="rect">
            <a:avLst/>
          </a:prstGeom>
        </xdr:spPr>
      </xdr:pic>
    </xdr:grpSp>
    <xdr:clientData/>
  </xdr:twoCellAnchor>
  <xdr:oneCellAnchor>
    <xdr:from>
      <xdr:col>13</xdr:col>
      <xdr:colOff>275121</xdr:colOff>
      <xdr:row>3</xdr:row>
      <xdr:rowOff>0</xdr:rowOff>
    </xdr:from>
    <xdr:ext cx="5913438" cy="755109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719413E7-2E97-949A-056E-AFBB57881BBB}"/>
            </a:ext>
          </a:extLst>
        </xdr:cNvPr>
        <xdr:cNvSpPr txBox="1"/>
      </xdr:nvSpPr>
      <xdr:spPr>
        <a:xfrm>
          <a:off x="8250290" y="548898"/>
          <a:ext cx="5913438" cy="7551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ANÁLISE</a:t>
          </a:r>
          <a:r>
            <a:rPr lang="pt-BR" sz="28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EXECUTIVA DE</a:t>
          </a:r>
          <a:r>
            <a:rPr lang="pt-BR" sz="2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2800" b="1">
              <a:solidFill>
                <a:srgbClr val="00E676"/>
              </a:solidFill>
              <a:latin typeface="Segoe UI" panose="020B0502040204020203" pitchFamily="34" charset="0"/>
              <a:cs typeface="Segoe UI" panose="020B0502040204020203" pitchFamily="34" charset="0"/>
            </a:rPr>
            <a:t>VENDAS</a:t>
          </a:r>
        </a:p>
      </xdr:txBody>
    </xdr:sp>
    <xdr:clientData/>
  </xdr:oneCellAnchor>
  <xdr:twoCellAnchor editAs="oneCell">
    <xdr:from>
      <xdr:col>0</xdr:col>
      <xdr:colOff>344408</xdr:colOff>
      <xdr:row>44</xdr:row>
      <xdr:rowOff>53814</xdr:rowOff>
    </xdr:from>
    <xdr:to>
      <xdr:col>2</xdr:col>
      <xdr:colOff>184259</xdr:colOff>
      <xdr:row>51</xdr:row>
      <xdr:rowOff>100201</xdr:rowOff>
    </xdr:to>
    <xdr:pic>
      <xdr:nvPicPr>
        <xdr:cNvPr id="5" name="Imagem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AACF53F-E034-4E7D-82CF-99AC317E6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44408" y="8104322"/>
          <a:ext cx="1066800" cy="13271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SMILD JACKSON GOSMILD" refreshedDate="46207.606787962963" missingItemsLimit="0" createdVersion="8" refreshedVersion="8" minRefreshableVersion="3" recordCount="496" xr:uid="{ECFB54F0-A85C-438E-8ED6-402718AE5340}">
  <cacheSource type="worksheet">
    <worksheetSource name="Tabela1"/>
  </cacheSource>
  <cacheFields count="5">
    <cacheField name="Nº" numFmtId="0">
      <sharedItems containsSemiMixedTypes="0" containsString="0" containsNumber="1" containsInteger="1" minValue="1" maxValue="416"/>
    </cacheField>
    <cacheField name="PRODUCT" numFmtId="0">
      <sharedItems count="4">
        <s v="Books"/>
        <s v="Clothing"/>
        <s v="Music"/>
        <s v="Games"/>
      </sharedItems>
    </cacheField>
    <cacheField name="SALES PERSON" numFmtId="0">
      <sharedItems count="4">
        <s v="Alice"/>
        <s v="Barney"/>
        <s v="Carol"/>
        <s v="David"/>
      </sharedItems>
    </cacheField>
    <cacheField name="SALES AMOUNT  " numFmtId="166">
      <sharedItems containsSemiMixedTypes="0" containsString="0" containsNumber="1" containsInteger="1" minValue="0" maxValue="2500"/>
    </cacheField>
    <cacheField name="DATE" numFmtId="167">
      <sharedItems containsSemiMixedTypes="0" containsNonDate="0" containsDate="1" containsString="0" minDate="2017-10-01T00:00:00" maxDate="2017-11-01T00:00:00" count="31"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</sharedItems>
    </cacheField>
  </cacheFields>
  <extLst>
    <ext xmlns:x14="http://schemas.microsoft.com/office/spreadsheetml/2009/9/main" uri="{725AE2AE-9491-48be-B2B4-4EB974FC3084}">
      <x14:pivotCacheDefinition pivotCacheId="16023546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">
  <r>
    <n v="1"/>
    <x v="0"/>
    <x v="0"/>
    <n v="597"/>
    <x v="0"/>
  </r>
  <r>
    <n v="2"/>
    <x v="1"/>
    <x v="0"/>
    <n v="0"/>
    <x v="0"/>
  </r>
  <r>
    <n v="3"/>
    <x v="2"/>
    <x v="1"/>
    <n v="1272"/>
    <x v="0"/>
  </r>
  <r>
    <n v="4"/>
    <x v="3"/>
    <x v="2"/>
    <n v="1451"/>
    <x v="0"/>
  </r>
  <r>
    <n v="5"/>
    <x v="0"/>
    <x v="2"/>
    <n v="670"/>
    <x v="0"/>
  </r>
  <r>
    <n v="6"/>
    <x v="2"/>
    <x v="0"/>
    <n v="0"/>
    <x v="0"/>
  </r>
  <r>
    <n v="7"/>
    <x v="2"/>
    <x v="2"/>
    <n v="902"/>
    <x v="0"/>
  </r>
  <r>
    <n v="8"/>
    <x v="1"/>
    <x v="3"/>
    <n v="610"/>
    <x v="0"/>
  </r>
  <r>
    <n v="9"/>
    <x v="1"/>
    <x v="1"/>
    <n v="732"/>
    <x v="0"/>
  </r>
  <r>
    <n v="10"/>
    <x v="0"/>
    <x v="1"/>
    <n v="686"/>
    <x v="0"/>
  </r>
  <r>
    <n v="11"/>
    <x v="3"/>
    <x v="1"/>
    <n v="1477"/>
    <x v="0"/>
  </r>
  <r>
    <n v="12"/>
    <x v="3"/>
    <x v="3"/>
    <n v="1810"/>
    <x v="0"/>
  </r>
  <r>
    <n v="13"/>
    <x v="1"/>
    <x v="2"/>
    <n v="988"/>
    <x v="0"/>
  </r>
  <r>
    <n v="14"/>
    <x v="3"/>
    <x v="0"/>
    <n v="2292"/>
    <x v="0"/>
  </r>
  <r>
    <n v="15"/>
    <x v="2"/>
    <x v="3"/>
    <n v="1396"/>
    <x v="0"/>
  </r>
  <r>
    <n v="16"/>
    <x v="0"/>
    <x v="3"/>
    <n v="0"/>
    <x v="0"/>
  </r>
  <r>
    <n v="17"/>
    <x v="0"/>
    <x v="2"/>
    <n v="0"/>
    <x v="1"/>
  </r>
  <r>
    <n v="18"/>
    <x v="3"/>
    <x v="3"/>
    <n v="2153"/>
    <x v="1"/>
  </r>
  <r>
    <n v="19"/>
    <x v="2"/>
    <x v="1"/>
    <n v="927"/>
    <x v="1"/>
  </r>
  <r>
    <n v="20"/>
    <x v="1"/>
    <x v="2"/>
    <n v="0"/>
    <x v="1"/>
  </r>
  <r>
    <n v="21"/>
    <x v="1"/>
    <x v="0"/>
    <n v="1657"/>
    <x v="1"/>
  </r>
  <r>
    <n v="22"/>
    <x v="3"/>
    <x v="1"/>
    <n v="2368"/>
    <x v="1"/>
  </r>
  <r>
    <n v="23"/>
    <x v="2"/>
    <x v="0"/>
    <n v="975"/>
    <x v="1"/>
  </r>
  <r>
    <n v="24"/>
    <x v="0"/>
    <x v="1"/>
    <n v="885"/>
    <x v="1"/>
  </r>
  <r>
    <n v="25"/>
    <x v="1"/>
    <x v="3"/>
    <n v="0"/>
    <x v="1"/>
  </r>
  <r>
    <n v="26"/>
    <x v="2"/>
    <x v="3"/>
    <n v="1315"/>
    <x v="1"/>
  </r>
  <r>
    <n v="27"/>
    <x v="3"/>
    <x v="2"/>
    <n v="827"/>
    <x v="1"/>
  </r>
  <r>
    <n v="28"/>
    <x v="0"/>
    <x v="0"/>
    <n v="547"/>
    <x v="1"/>
  </r>
  <r>
    <n v="29"/>
    <x v="2"/>
    <x v="2"/>
    <n v="1007"/>
    <x v="1"/>
  </r>
  <r>
    <n v="30"/>
    <x v="3"/>
    <x v="0"/>
    <n v="0"/>
    <x v="1"/>
  </r>
  <r>
    <n v="31"/>
    <x v="0"/>
    <x v="3"/>
    <n v="890"/>
    <x v="1"/>
  </r>
  <r>
    <n v="32"/>
    <x v="1"/>
    <x v="1"/>
    <n v="1988"/>
    <x v="1"/>
  </r>
  <r>
    <n v="33"/>
    <x v="0"/>
    <x v="2"/>
    <n v="721"/>
    <x v="2"/>
  </r>
  <r>
    <n v="34"/>
    <x v="0"/>
    <x v="0"/>
    <n v="0"/>
    <x v="2"/>
  </r>
  <r>
    <n v="35"/>
    <x v="2"/>
    <x v="2"/>
    <n v="1061"/>
    <x v="2"/>
  </r>
  <r>
    <n v="36"/>
    <x v="2"/>
    <x v="1"/>
    <n v="1170"/>
    <x v="2"/>
  </r>
  <r>
    <n v="37"/>
    <x v="3"/>
    <x v="2"/>
    <n v="2228"/>
    <x v="2"/>
  </r>
  <r>
    <n v="38"/>
    <x v="3"/>
    <x v="3"/>
    <n v="944"/>
    <x v="2"/>
  </r>
  <r>
    <n v="39"/>
    <x v="0"/>
    <x v="3"/>
    <n v="765"/>
    <x v="2"/>
  </r>
  <r>
    <n v="40"/>
    <x v="1"/>
    <x v="1"/>
    <n v="0"/>
    <x v="2"/>
  </r>
  <r>
    <n v="41"/>
    <x v="1"/>
    <x v="0"/>
    <n v="1121"/>
    <x v="2"/>
  </r>
  <r>
    <n v="42"/>
    <x v="2"/>
    <x v="3"/>
    <n v="0"/>
    <x v="2"/>
  </r>
  <r>
    <n v="43"/>
    <x v="2"/>
    <x v="0"/>
    <n v="0"/>
    <x v="2"/>
  </r>
  <r>
    <n v="44"/>
    <x v="0"/>
    <x v="1"/>
    <n v="0"/>
    <x v="2"/>
  </r>
  <r>
    <n v="45"/>
    <x v="3"/>
    <x v="1"/>
    <n v="1957"/>
    <x v="2"/>
  </r>
  <r>
    <n v="46"/>
    <x v="1"/>
    <x v="2"/>
    <n v="1069"/>
    <x v="2"/>
  </r>
  <r>
    <n v="47"/>
    <x v="3"/>
    <x v="0"/>
    <n v="0"/>
    <x v="2"/>
  </r>
  <r>
    <n v="48"/>
    <x v="1"/>
    <x v="3"/>
    <n v="1671"/>
    <x v="2"/>
  </r>
  <r>
    <n v="49"/>
    <x v="1"/>
    <x v="3"/>
    <n v="1574"/>
    <x v="3"/>
  </r>
  <r>
    <n v="50"/>
    <x v="0"/>
    <x v="2"/>
    <n v="718"/>
    <x v="3"/>
  </r>
  <r>
    <n v="51"/>
    <x v="1"/>
    <x v="2"/>
    <n v="819"/>
    <x v="3"/>
  </r>
  <r>
    <n v="52"/>
    <x v="0"/>
    <x v="1"/>
    <n v="818"/>
    <x v="3"/>
  </r>
  <r>
    <n v="53"/>
    <x v="3"/>
    <x v="3"/>
    <n v="0"/>
    <x v="3"/>
  </r>
  <r>
    <n v="54"/>
    <x v="2"/>
    <x v="0"/>
    <n v="1461"/>
    <x v="3"/>
  </r>
  <r>
    <n v="55"/>
    <x v="0"/>
    <x v="3"/>
    <n v="729"/>
    <x v="3"/>
  </r>
  <r>
    <n v="56"/>
    <x v="2"/>
    <x v="1"/>
    <n v="1242"/>
    <x v="3"/>
  </r>
  <r>
    <n v="57"/>
    <x v="3"/>
    <x v="1"/>
    <n v="0"/>
    <x v="3"/>
  </r>
  <r>
    <n v="58"/>
    <x v="1"/>
    <x v="1"/>
    <n v="1992"/>
    <x v="3"/>
  </r>
  <r>
    <n v="59"/>
    <x v="1"/>
    <x v="0"/>
    <n v="1616"/>
    <x v="3"/>
  </r>
  <r>
    <n v="60"/>
    <x v="2"/>
    <x v="3"/>
    <n v="0"/>
    <x v="3"/>
  </r>
  <r>
    <n v="61"/>
    <x v="2"/>
    <x v="2"/>
    <n v="1025"/>
    <x v="3"/>
  </r>
  <r>
    <n v="62"/>
    <x v="0"/>
    <x v="0"/>
    <n v="716"/>
    <x v="3"/>
  </r>
  <r>
    <n v="63"/>
    <x v="3"/>
    <x v="2"/>
    <n v="0"/>
    <x v="3"/>
  </r>
  <r>
    <n v="64"/>
    <x v="3"/>
    <x v="0"/>
    <n v="2364"/>
    <x v="3"/>
  </r>
  <r>
    <n v="65"/>
    <x v="1"/>
    <x v="0"/>
    <n v="1991"/>
    <x v="4"/>
  </r>
  <r>
    <n v="66"/>
    <x v="2"/>
    <x v="1"/>
    <n v="1492"/>
    <x v="4"/>
  </r>
  <r>
    <n v="67"/>
    <x v="2"/>
    <x v="0"/>
    <n v="1047"/>
    <x v="4"/>
  </r>
  <r>
    <n v="68"/>
    <x v="2"/>
    <x v="3"/>
    <n v="1136"/>
    <x v="4"/>
  </r>
  <r>
    <n v="69"/>
    <x v="0"/>
    <x v="1"/>
    <n v="844"/>
    <x v="4"/>
  </r>
  <r>
    <n v="70"/>
    <x v="1"/>
    <x v="2"/>
    <n v="0"/>
    <x v="4"/>
  </r>
  <r>
    <n v="71"/>
    <x v="3"/>
    <x v="1"/>
    <n v="0"/>
    <x v="4"/>
  </r>
  <r>
    <n v="72"/>
    <x v="3"/>
    <x v="2"/>
    <n v="2347"/>
    <x v="4"/>
  </r>
  <r>
    <n v="73"/>
    <x v="1"/>
    <x v="1"/>
    <n v="999"/>
    <x v="4"/>
  </r>
  <r>
    <n v="74"/>
    <x v="2"/>
    <x v="2"/>
    <n v="1428"/>
    <x v="4"/>
  </r>
  <r>
    <n v="75"/>
    <x v="1"/>
    <x v="3"/>
    <n v="0"/>
    <x v="4"/>
  </r>
  <r>
    <n v="76"/>
    <x v="0"/>
    <x v="0"/>
    <n v="508"/>
    <x v="4"/>
  </r>
  <r>
    <n v="77"/>
    <x v="0"/>
    <x v="2"/>
    <n v="619"/>
    <x v="4"/>
  </r>
  <r>
    <n v="78"/>
    <x v="3"/>
    <x v="3"/>
    <n v="1878"/>
    <x v="4"/>
  </r>
  <r>
    <n v="79"/>
    <x v="0"/>
    <x v="3"/>
    <n v="540"/>
    <x v="4"/>
  </r>
  <r>
    <n v="80"/>
    <x v="3"/>
    <x v="0"/>
    <n v="2369"/>
    <x v="4"/>
  </r>
  <r>
    <n v="81"/>
    <x v="1"/>
    <x v="1"/>
    <n v="883"/>
    <x v="5"/>
  </r>
  <r>
    <n v="82"/>
    <x v="0"/>
    <x v="1"/>
    <n v="0"/>
    <x v="5"/>
  </r>
  <r>
    <n v="83"/>
    <x v="3"/>
    <x v="0"/>
    <n v="2406"/>
    <x v="5"/>
  </r>
  <r>
    <n v="84"/>
    <x v="2"/>
    <x v="3"/>
    <n v="0"/>
    <x v="5"/>
  </r>
  <r>
    <n v="85"/>
    <x v="2"/>
    <x v="2"/>
    <n v="1256"/>
    <x v="5"/>
  </r>
  <r>
    <n v="86"/>
    <x v="0"/>
    <x v="2"/>
    <n v="0"/>
    <x v="5"/>
  </r>
  <r>
    <n v="87"/>
    <x v="3"/>
    <x v="3"/>
    <n v="1248"/>
    <x v="5"/>
  </r>
  <r>
    <n v="88"/>
    <x v="1"/>
    <x v="3"/>
    <n v="1106"/>
    <x v="5"/>
  </r>
  <r>
    <n v="89"/>
    <x v="3"/>
    <x v="1"/>
    <n v="0"/>
    <x v="5"/>
  </r>
  <r>
    <n v="90"/>
    <x v="0"/>
    <x v="3"/>
    <n v="523"/>
    <x v="5"/>
  </r>
  <r>
    <n v="91"/>
    <x v="1"/>
    <x v="0"/>
    <n v="680"/>
    <x v="5"/>
  </r>
  <r>
    <n v="92"/>
    <x v="1"/>
    <x v="2"/>
    <n v="0"/>
    <x v="5"/>
  </r>
  <r>
    <n v="93"/>
    <x v="3"/>
    <x v="2"/>
    <n v="1733"/>
    <x v="5"/>
  </r>
  <r>
    <n v="94"/>
    <x v="2"/>
    <x v="1"/>
    <n v="973"/>
    <x v="5"/>
  </r>
  <r>
    <n v="95"/>
    <x v="0"/>
    <x v="0"/>
    <n v="750"/>
    <x v="5"/>
  </r>
  <r>
    <n v="96"/>
    <x v="2"/>
    <x v="0"/>
    <n v="1010"/>
    <x v="5"/>
  </r>
  <r>
    <n v="97"/>
    <x v="3"/>
    <x v="3"/>
    <n v="1489"/>
    <x v="6"/>
  </r>
  <r>
    <n v="98"/>
    <x v="1"/>
    <x v="3"/>
    <n v="1564"/>
    <x v="6"/>
  </r>
  <r>
    <n v="99"/>
    <x v="3"/>
    <x v="2"/>
    <n v="0"/>
    <x v="6"/>
  </r>
  <r>
    <n v="100"/>
    <x v="1"/>
    <x v="1"/>
    <n v="1419"/>
    <x v="6"/>
  </r>
  <r>
    <n v="101"/>
    <x v="3"/>
    <x v="1"/>
    <n v="1117"/>
    <x v="6"/>
  </r>
  <r>
    <n v="102"/>
    <x v="2"/>
    <x v="3"/>
    <n v="1424"/>
    <x v="6"/>
  </r>
  <r>
    <n v="103"/>
    <x v="2"/>
    <x v="0"/>
    <n v="924"/>
    <x v="6"/>
  </r>
  <r>
    <n v="104"/>
    <x v="2"/>
    <x v="1"/>
    <n v="984"/>
    <x v="6"/>
  </r>
  <r>
    <n v="105"/>
    <x v="1"/>
    <x v="0"/>
    <n v="1182"/>
    <x v="6"/>
  </r>
  <r>
    <n v="106"/>
    <x v="1"/>
    <x v="2"/>
    <n v="1535"/>
    <x v="6"/>
  </r>
  <r>
    <n v="107"/>
    <x v="0"/>
    <x v="3"/>
    <n v="978"/>
    <x v="6"/>
  </r>
  <r>
    <n v="108"/>
    <x v="0"/>
    <x v="1"/>
    <n v="765"/>
    <x v="6"/>
  </r>
  <r>
    <n v="109"/>
    <x v="3"/>
    <x v="0"/>
    <n v="0"/>
    <x v="6"/>
  </r>
  <r>
    <n v="110"/>
    <x v="2"/>
    <x v="2"/>
    <n v="0"/>
    <x v="6"/>
  </r>
  <r>
    <n v="111"/>
    <x v="0"/>
    <x v="2"/>
    <n v="0"/>
    <x v="6"/>
  </r>
  <r>
    <n v="112"/>
    <x v="0"/>
    <x v="0"/>
    <n v="0"/>
    <x v="6"/>
  </r>
  <r>
    <n v="113"/>
    <x v="2"/>
    <x v="1"/>
    <n v="0"/>
    <x v="7"/>
  </r>
  <r>
    <n v="114"/>
    <x v="2"/>
    <x v="3"/>
    <n v="1355"/>
    <x v="7"/>
  </r>
  <r>
    <n v="115"/>
    <x v="0"/>
    <x v="2"/>
    <n v="591"/>
    <x v="7"/>
  </r>
  <r>
    <n v="116"/>
    <x v="1"/>
    <x v="2"/>
    <n v="772"/>
    <x v="7"/>
  </r>
  <r>
    <n v="117"/>
    <x v="3"/>
    <x v="3"/>
    <n v="2271"/>
    <x v="7"/>
  </r>
  <r>
    <n v="118"/>
    <x v="0"/>
    <x v="0"/>
    <n v="763"/>
    <x v="7"/>
  </r>
  <r>
    <n v="119"/>
    <x v="1"/>
    <x v="3"/>
    <n v="1631"/>
    <x v="7"/>
  </r>
  <r>
    <n v="120"/>
    <x v="2"/>
    <x v="2"/>
    <n v="1003"/>
    <x v="7"/>
  </r>
  <r>
    <n v="121"/>
    <x v="1"/>
    <x v="1"/>
    <n v="718"/>
    <x v="7"/>
  </r>
  <r>
    <n v="122"/>
    <x v="3"/>
    <x v="1"/>
    <n v="1478"/>
    <x v="7"/>
  </r>
  <r>
    <n v="123"/>
    <x v="2"/>
    <x v="0"/>
    <n v="0"/>
    <x v="7"/>
  </r>
  <r>
    <n v="124"/>
    <x v="3"/>
    <x v="2"/>
    <n v="2008"/>
    <x v="7"/>
  </r>
  <r>
    <n v="125"/>
    <x v="3"/>
    <x v="0"/>
    <n v="1218"/>
    <x v="7"/>
  </r>
  <r>
    <n v="126"/>
    <x v="0"/>
    <x v="1"/>
    <n v="981"/>
    <x v="7"/>
  </r>
  <r>
    <n v="127"/>
    <x v="0"/>
    <x v="3"/>
    <n v="501"/>
    <x v="7"/>
  </r>
  <r>
    <n v="128"/>
    <x v="1"/>
    <x v="0"/>
    <n v="859"/>
    <x v="7"/>
  </r>
  <r>
    <n v="129"/>
    <x v="0"/>
    <x v="3"/>
    <n v="866"/>
    <x v="8"/>
  </r>
  <r>
    <n v="130"/>
    <x v="1"/>
    <x v="1"/>
    <n v="1944"/>
    <x v="8"/>
  </r>
  <r>
    <n v="131"/>
    <x v="2"/>
    <x v="1"/>
    <n v="0"/>
    <x v="8"/>
  </r>
  <r>
    <n v="132"/>
    <x v="3"/>
    <x v="2"/>
    <n v="893"/>
    <x v="8"/>
  </r>
  <r>
    <n v="133"/>
    <x v="3"/>
    <x v="1"/>
    <n v="0"/>
    <x v="8"/>
  </r>
  <r>
    <n v="134"/>
    <x v="0"/>
    <x v="2"/>
    <n v="970"/>
    <x v="8"/>
  </r>
  <r>
    <n v="135"/>
    <x v="0"/>
    <x v="0"/>
    <n v="640"/>
    <x v="8"/>
  </r>
  <r>
    <n v="136"/>
    <x v="2"/>
    <x v="0"/>
    <n v="1347"/>
    <x v="8"/>
  </r>
  <r>
    <n v="137"/>
    <x v="1"/>
    <x v="2"/>
    <n v="987"/>
    <x v="8"/>
  </r>
  <r>
    <n v="138"/>
    <x v="3"/>
    <x v="3"/>
    <n v="1960"/>
    <x v="8"/>
  </r>
  <r>
    <n v="139"/>
    <x v="3"/>
    <x v="0"/>
    <n v="0"/>
    <x v="8"/>
  </r>
  <r>
    <n v="140"/>
    <x v="1"/>
    <x v="3"/>
    <n v="1703"/>
    <x v="8"/>
  </r>
  <r>
    <n v="141"/>
    <x v="2"/>
    <x v="2"/>
    <n v="1368"/>
    <x v="8"/>
  </r>
  <r>
    <n v="142"/>
    <x v="1"/>
    <x v="0"/>
    <n v="989"/>
    <x v="8"/>
  </r>
  <r>
    <n v="143"/>
    <x v="2"/>
    <x v="3"/>
    <n v="1345"/>
    <x v="8"/>
  </r>
  <r>
    <n v="144"/>
    <x v="0"/>
    <x v="1"/>
    <n v="0"/>
    <x v="8"/>
  </r>
  <r>
    <n v="145"/>
    <x v="1"/>
    <x v="2"/>
    <n v="1732"/>
    <x v="9"/>
  </r>
  <r>
    <n v="146"/>
    <x v="0"/>
    <x v="3"/>
    <n v="987"/>
    <x v="9"/>
  </r>
  <r>
    <n v="147"/>
    <x v="3"/>
    <x v="2"/>
    <n v="0"/>
    <x v="9"/>
  </r>
  <r>
    <n v="148"/>
    <x v="0"/>
    <x v="1"/>
    <n v="725"/>
    <x v="9"/>
  </r>
  <r>
    <n v="149"/>
    <x v="3"/>
    <x v="1"/>
    <n v="1954"/>
    <x v="9"/>
  </r>
  <r>
    <n v="150"/>
    <x v="3"/>
    <x v="0"/>
    <n v="2259"/>
    <x v="9"/>
  </r>
  <r>
    <n v="151"/>
    <x v="0"/>
    <x v="2"/>
    <n v="725"/>
    <x v="9"/>
  </r>
  <r>
    <n v="152"/>
    <x v="1"/>
    <x v="1"/>
    <n v="667"/>
    <x v="9"/>
  </r>
  <r>
    <n v="153"/>
    <x v="1"/>
    <x v="3"/>
    <n v="1545"/>
    <x v="9"/>
  </r>
  <r>
    <n v="154"/>
    <x v="2"/>
    <x v="3"/>
    <n v="1040"/>
    <x v="9"/>
  </r>
  <r>
    <n v="155"/>
    <x v="0"/>
    <x v="0"/>
    <n v="0"/>
    <x v="9"/>
  </r>
  <r>
    <n v="156"/>
    <x v="3"/>
    <x v="3"/>
    <n v="1870"/>
    <x v="9"/>
  </r>
  <r>
    <n v="157"/>
    <x v="1"/>
    <x v="0"/>
    <n v="1069"/>
    <x v="9"/>
  </r>
  <r>
    <n v="158"/>
    <x v="2"/>
    <x v="0"/>
    <n v="1098"/>
    <x v="9"/>
  </r>
  <r>
    <n v="159"/>
    <x v="2"/>
    <x v="1"/>
    <n v="1140"/>
    <x v="9"/>
  </r>
  <r>
    <n v="160"/>
    <x v="2"/>
    <x v="2"/>
    <n v="951"/>
    <x v="9"/>
  </r>
  <r>
    <n v="161"/>
    <x v="1"/>
    <x v="3"/>
    <n v="811"/>
    <x v="10"/>
  </r>
  <r>
    <n v="162"/>
    <x v="3"/>
    <x v="0"/>
    <n v="1326"/>
    <x v="10"/>
  </r>
  <r>
    <n v="163"/>
    <x v="2"/>
    <x v="0"/>
    <n v="0"/>
    <x v="10"/>
  </r>
  <r>
    <n v="164"/>
    <x v="0"/>
    <x v="1"/>
    <n v="999"/>
    <x v="10"/>
  </r>
  <r>
    <n v="165"/>
    <x v="1"/>
    <x v="1"/>
    <n v="1419"/>
    <x v="10"/>
  </r>
  <r>
    <n v="166"/>
    <x v="2"/>
    <x v="2"/>
    <n v="0"/>
    <x v="10"/>
  </r>
  <r>
    <n v="167"/>
    <x v="3"/>
    <x v="1"/>
    <n v="1198"/>
    <x v="10"/>
  </r>
  <r>
    <n v="168"/>
    <x v="0"/>
    <x v="2"/>
    <n v="776"/>
    <x v="10"/>
  </r>
  <r>
    <n v="169"/>
    <x v="0"/>
    <x v="0"/>
    <n v="675"/>
    <x v="10"/>
  </r>
  <r>
    <n v="170"/>
    <x v="3"/>
    <x v="2"/>
    <n v="0"/>
    <x v="10"/>
  </r>
  <r>
    <n v="171"/>
    <x v="1"/>
    <x v="2"/>
    <n v="1635"/>
    <x v="10"/>
  </r>
  <r>
    <n v="172"/>
    <x v="2"/>
    <x v="3"/>
    <n v="1306"/>
    <x v="10"/>
  </r>
  <r>
    <n v="173"/>
    <x v="3"/>
    <x v="3"/>
    <n v="1930"/>
    <x v="10"/>
  </r>
  <r>
    <n v="174"/>
    <x v="0"/>
    <x v="3"/>
    <n v="842"/>
    <x v="10"/>
  </r>
  <r>
    <n v="175"/>
    <x v="2"/>
    <x v="1"/>
    <n v="1382"/>
    <x v="10"/>
  </r>
  <r>
    <n v="176"/>
    <x v="1"/>
    <x v="0"/>
    <n v="1375"/>
    <x v="10"/>
  </r>
  <r>
    <n v="177"/>
    <x v="2"/>
    <x v="2"/>
    <n v="0"/>
    <x v="11"/>
  </r>
  <r>
    <n v="178"/>
    <x v="2"/>
    <x v="0"/>
    <n v="1447"/>
    <x v="11"/>
  </r>
  <r>
    <n v="179"/>
    <x v="1"/>
    <x v="2"/>
    <n v="1973"/>
    <x v="11"/>
  </r>
  <r>
    <n v="180"/>
    <x v="0"/>
    <x v="2"/>
    <n v="500"/>
    <x v="11"/>
  </r>
  <r>
    <n v="181"/>
    <x v="3"/>
    <x v="3"/>
    <n v="0"/>
    <x v="11"/>
  </r>
  <r>
    <n v="182"/>
    <x v="2"/>
    <x v="1"/>
    <n v="914"/>
    <x v="11"/>
  </r>
  <r>
    <n v="183"/>
    <x v="3"/>
    <x v="2"/>
    <n v="1878"/>
    <x v="11"/>
  </r>
  <r>
    <n v="184"/>
    <x v="2"/>
    <x v="3"/>
    <n v="1445"/>
    <x v="11"/>
  </r>
  <r>
    <n v="185"/>
    <x v="0"/>
    <x v="3"/>
    <n v="688"/>
    <x v="11"/>
  </r>
  <r>
    <n v="186"/>
    <x v="0"/>
    <x v="0"/>
    <n v="743"/>
    <x v="11"/>
  </r>
  <r>
    <n v="187"/>
    <x v="1"/>
    <x v="3"/>
    <n v="1066"/>
    <x v="11"/>
  </r>
  <r>
    <n v="188"/>
    <x v="1"/>
    <x v="1"/>
    <n v="925"/>
    <x v="11"/>
  </r>
  <r>
    <n v="189"/>
    <x v="0"/>
    <x v="1"/>
    <n v="789"/>
    <x v="11"/>
  </r>
  <r>
    <n v="190"/>
    <x v="1"/>
    <x v="0"/>
    <n v="0"/>
    <x v="11"/>
  </r>
  <r>
    <n v="191"/>
    <x v="3"/>
    <x v="0"/>
    <n v="2500"/>
    <x v="11"/>
  </r>
  <r>
    <n v="192"/>
    <x v="3"/>
    <x v="1"/>
    <n v="1700"/>
    <x v="11"/>
  </r>
  <r>
    <n v="193"/>
    <x v="0"/>
    <x v="0"/>
    <n v="586"/>
    <x v="12"/>
  </r>
  <r>
    <n v="194"/>
    <x v="1"/>
    <x v="3"/>
    <n v="0"/>
    <x v="12"/>
  </r>
  <r>
    <n v="195"/>
    <x v="1"/>
    <x v="2"/>
    <n v="0"/>
    <x v="12"/>
  </r>
  <r>
    <n v="196"/>
    <x v="2"/>
    <x v="0"/>
    <n v="1103"/>
    <x v="12"/>
  </r>
  <r>
    <n v="197"/>
    <x v="0"/>
    <x v="2"/>
    <n v="0"/>
    <x v="12"/>
  </r>
  <r>
    <n v="198"/>
    <x v="0"/>
    <x v="3"/>
    <n v="0"/>
    <x v="12"/>
  </r>
  <r>
    <n v="199"/>
    <x v="1"/>
    <x v="0"/>
    <n v="1693"/>
    <x v="12"/>
  </r>
  <r>
    <n v="200"/>
    <x v="2"/>
    <x v="3"/>
    <n v="1454"/>
    <x v="12"/>
  </r>
  <r>
    <n v="201"/>
    <x v="0"/>
    <x v="1"/>
    <n v="922"/>
    <x v="12"/>
  </r>
  <r>
    <n v="202"/>
    <x v="2"/>
    <x v="2"/>
    <n v="1143"/>
    <x v="12"/>
  </r>
  <r>
    <n v="203"/>
    <x v="3"/>
    <x v="1"/>
    <n v="1349"/>
    <x v="12"/>
  </r>
  <r>
    <n v="204"/>
    <x v="3"/>
    <x v="3"/>
    <n v="1573"/>
    <x v="12"/>
  </r>
  <r>
    <n v="205"/>
    <x v="2"/>
    <x v="1"/>
    <n v="0"/>
    <x v="12"/>
  </r>
  <r>
    <n v="206"/>
    <x v="3"/>
    <x v="2"/>
    <n v="1546"/>
    <x v="12"/>
  </r>
  <r>
    <n v="207"/>
    <x v="1"/>
    <x v="1"/>
    <n v="0"/>
    <x v="12"/>
  </r>
  <r>
    <n v="208"/>
    <x v="3"/>
    <x v="0"/>
    <n v="1045"/>
    <x v="12"/>
  </r>
  <r>
    <n v="209"/>
    <x v="1"/>
    <x v="2"/>
    <n v="808"/>
    <x v="13"/>
  </r>
  <r>
    <n v="210"/>
    <x v="3"/>
    <x v="1"/>
    <n v="1771"/>
    <x v="13"/>
  </r>
  <r>
    <n v="211"/>
    <x v="0"/>
    <x v="2"/>
    <n v="0"/>
    <x v="13"/>
  </r>
  <r>
    <n v="212"/>
    <x v="1"/>
    <x v="0"/>
    <n v="1671"/>
    <x v="13"/>
  </r>
  <r>
    <n v="213"/>
    <x v="2"/>
    <x v="2"/>
    <n v="0"/>
    <x v="13"/>
  </r>
  <r>
    <n v="214"/>
    <x v="0"/>
    <x v="0"/>
    <n v="552"/>
    <x v="13"/>
  </r>
  <r>
    <n v="215"/>
    <x v="2"/>
    <x v="0"/>
    <n v="1236"/>
    <x v="13"/>
  </r>
  <r>
    <n v="216"/>
    <x v="3"/>
    <x v="2"/>
    <n v="2331"/>
    <x v="13"/>
  </r>
  <r>
    <n v="217"/>
    <x v="3"/>
    <x v="3"/>
    <n v="1110"/>
    <x v="13"/>
  </r>
  <r>
    <n v="218"/>
    <x v="1"/>
    <x v="3"/>
    <n v="962"/>
    <x v="13"/>
  </r>
  <r>
    <n v="219"/>
    <x v="0"/>
    <x v="1"/>
    <n v="621"/>
    <x v="13"/>
  </r>
  <r>
    <n v="220"/>
    <x v="3"/>
    <x v="0"/>
    <n v="2209"/>
    <x v="13"/>
  </r>
  <r>
    <n v="221"/>
    <x v="0"/>
    <x v="3"/>
    <n v="0"/>
    <x v="13"/>
  </r>
  <r>
    <n v="222"/>
    <x v="2"/>
    <x v="3"/>
    <n v="1203"/>
    <x v="13"/>
  </r>
  <r>
    <n v="223"/>
    <x v="2"/>
    <x v="1"/>
    <n v="1144"/>
    <x v="13"/>
  </r>
  <r>
    <n v="224"/>
    <x v="1"/>
    <x v="1"/>
    <n v="0"/>
    <x v="13"/>
  </r>
  <r>
    <n v="225"/>
    <x v="2"/>
    <x v="3"/>
    <n v="1202"/>
    <x v="14"/>
  </r>
  <r>
    <n v="226"/>
    <x v="0"/>
    <x v="2"/>
    <n v="754"/>
    <x v="14"/>
  </r>
  <r>
    <n v="227"/>
    <x v="1"/>
    <x v="0"/>
    <n v="1986"/>
    <x v="14"/>
  </r>
  <r>
    <n v="228"/>
    <x v="3"/>
    <x v="3"/>
    <n v="0"/>
    <x v="14"/>
  </r>
  <r>
    <n v="229"/>
    <x v="0"/>
    <x v="1"/>
    <n v="0"/>
    <x v="14"/>
  </r>
  <r>
    <n v="230"/>
    <x v="1"/>
    <x v="1"/>
    <n v="1743"/>
    <x v="14"/>
  </r>
  <r>
    <n v="231"/>
    <x v="1"/>
    <x v="2"/>
    <n v="1304"/>
    <x v="14"/>
  </r>
  <r>
    <n v="232"/>
    <x v="3"/>
    <x v="2"/>
    <n v="1500"/>
    <x v="14"/>
  </r>
  <r>
    <n v="233"/>
    <x v="2"/>
    <x v="1"/>
    <n v="1291"/>
    <x v="14"/>
  </r>
  <r>
    <n v="234"/>
    <x v="2"/>
    <x v="2"/>
    <n v="1360"/>
    <x v="14"/>
  </r>
  <r>
    <n v="235"/>
    <x v="2"/>
    <x v="0"/>
    <n v="1499"/>
    <x v="14"/>
  </r>
  <r>
    <n v="236"/>
    <x v="3"/>
    <x v="1"/>
    <n v="0"/>
    <x v="14"/>
  </r>
  <r>
    <n v="237"/>
    <x v="0"/>
    <x v="3"/>
    <n v="852"/>
    <x v="14"/>
  </r>
  <r>
    <n v="238"/>
    <x v="1"/>
    <x v="3"/>
    <n v="1281"/>
    <x v="14"/>
  </r>
  <r>
    <n v="239"/>
    <x v="0"/>
    <x v="0"/>
    <n v="952"/>
    <x v="14"/>
  </r>
  <r>
    <n v="240"/>
    <x v="3"/>
    <x v="0"/>
    <n v="0"/>
    <x v="14"/>
  </r>
  <r>
    <n v="241"/>
    <x v="1"/>
    <x v="1"/>
    <n v="945"/>
    <x v="15"/>
  </r>
  <r>
    <n v="242"/>
    <x v="0"/>
    <x v="3"/>
    <n v="598"/>
    <x v="15"/>
  </r>
  <r>
    <n v="243"/>
    <x v="3"/>
    <x v="0"/>
    <n v="1101"/>
    <x v="15"/>
  </r>
  <r>
    <n v="244"/>
    <x v="2"/>
    <x v="2"/>
    <n v="1412"/>
    <x v="15"/>
  </r>
  <r>
    <n v="245"/>
    <x v="0"/>
    <x v="1"/>
    <n v="0"/>
    <x v="15"/>
  </r>
  <r>
    <n v="246"/>
    <x v="3"/>
    <x v="2"/>
    <n v="1900"/>
    <x v="15"/>
  </r>
  <r>
    <n v="247"/>
    <x v="1"/>
    <x v="3"/>
    <n v="1414"/>
    <x v="15"/>
  </r>
  <r>
    <n v="248"/>
    <x v="1"/>
    <x v="0"/>
    <n v="0"/>
    <x v="15"/>
  </r>
  <r>
    <n v="249"/>
    <x v="3"/>
    <x v="1"/>
    <n v="1522"/>
    <x v="15"/>
  </r>
  <r>
    <n v="250"/>
    <x v="0"/>
    <x v="0"/>
    <n v="735"/>
    <x v="15"/>
  </r>
  <r>
    <n v="251"/>
    <x v="0"/>
    <x v="2"/>
    <n v="618"/>
    <x v="15"/>
  </r>
  <r>
    <n v="252"/>
    <x v="1"/>
    <x v="2"/>
    <n v="1602"/>
    <x v="15"/>
  </r>
  <r>
    <n v="253"/>
    <x v="2"/>
    <x v="1"/>
    <n v="0"/>
    <x v="15"/>
  </r>
  <r>
    <n v="254"/>
    <x v="3"/>
    <x v="3"/>
    <n v="0"/>
    <x v="15"/>
  </r>
  <r>
    <n v="255"/>
    <x v="2"/>
    <x v="0"/>
    <n v="0"/>
    <x v="15"/>
  </r>
  <r>
    <n v="256"/>
    <x v="2"/>
    <x v="3"/>
    <n v="1330"/>
    <x v="15"/>
  </r>
  <r>
    <n v="257"/>
    <x v="0"/>
    <x v="3"/>
    <n v="0"/>
    <x v="16"/>
  </r>
  <r>
    <n v="258"/>
    <x v="1"/>
    <x v="2"/>
    <n v="794"/>
    <x v="16"/>
  </r>
  <r>
    <n v="259"/>
    <x v="3"/>
    <x v="3"/>
    <n v="963"/>
    <x v="16"/>
  </r>
  <r>
    <n v="260"/>
    <x v="0"/>
    <x v="0"/>
    <n v="820"/>
    <x v="16"/>
  </r>
  <r>
    <n v="261"/>
    <x v="3"/>
    <x v="0"/>
    <n v="892"/>
    <x v="16"/>
  </r>
  <r>
    <n v="262"/>
    <x v="1"/>
    <x v="1"/>
    <n v="1740"/>
    <x v="16"/>
  </r>
  <r>
    <n v="263"/>
    <x v="2"/>
    <x v="0"/>
    <n v="0"/>
    <x v="16"/>
  </r>
  <r>
    <n v="264"/>
    <x v="3"/>
    <x v="1"/>
    <n v="1489"/>
    <x v="16"/>
  </r>
  <r>
    <n v="265"/>
    <x v="2"/>
    <x v="2"/>
    <n v="1223"/>
    <x v="16"/>
  </r>
  <r>
    <n v="266"/>
    <x v="1"/>
    <x v="3"/>
    <n v="1475"/>
    <x v="16"/>
  </r>
  <r>
    <n v="267"/>
    <x v="2"/>
    <x v="3"/>
    <n v="0"/>
    <x v="16"/>
  </r>
  <r>
    <n v="268"/>
    <x v="0"/>
    <x v="2"/>
    <n v="825"/>
    <x v="16"/>
  </r>
  <r>
    <n v="269"/>
    <x v="2"/>
    <x v="1"/>
    <n v="1294"/>
    <x v="16"/>
  </r>
  <r>
    <n v="270"/>
    <x v="0"/>
    <x v="1"/>
    <n v="726"/>
    <x v="16"/>
  </r>
  <r>
    <n v="271"/>
    <x v="3"/>
    <x v="2"/>
    <n v="2487"/>
    <x v="16"/>
  </r>
  <r>
    <n v="272"/>
    <x v="1"/>
    <x v="0"/>
    <n v="650"/>
    <x v="16"/>
  </r>
  <r>
    <n v="273"/>
    <x v="3"/>
    <x v="1"/>
    <n v="2493"/>
    <x v="17"/>
  </r>
  <r>
    <n v="274"/>
    <x v="1"/>
    <x v="0"/>
    <n v="1757"/>
    <x v="17"/>
  </r>
  <r>
    <n v="275"/>
    <x v="2"/>
    <x v="2"/>
    <n v="1232"/>
    <x v="17"/>
  </r>
  <r>
    <n v="276"/>
    <x v="1"/>
    <x v="1"/>
    <n v="615"/>
    <x v="17"/>
  </r>
  <r>
    <n v="277"/>
    <x v="3"/>
    <x v="2"/>
    <n v="1616"/>
    <x v="17"/>
  </r>
  <r>
    <n v="278"/>
    <x v="1"/>
    <x v="3"/>
    <n v="0"/>
    <x v="17"/>
  </r>
  <r>
    <n v="279"/>
    <x v="1"/>
    <x v="2"/>
    <n v="905"/>
    <x v="17"/>
  </r>
  <r>
    <n v="280"/>
    <x v="2"/>
    <x v="0"/>
    <n v="1071"/>
    <x v="17"/>
  </r>
  <r>
    <n v="281"/>
    <x v="0"/>
    <x v="1"/>
    <n v="669"/>
    <x v="17"/>
  </r>
  <r>
    <n v="282"/>
    <x v="0"/>
    <x v="3"/>
    <n v="0"/>
    <x v="17"/>
  </r>
  <r>
    <n v="283"/>
    <x v="2"/>
    <x v="3"/>
    <n v="0"/>
    <x v="17"/>
  </r>
  <r>
    <n v="284"/>
    <x v="3"/>
    <x v="0"/>
    <n v="2109"/>
    <x v="17"/>
  </r>
  <r>
    <n v="285"/>
    <x v="2"/>
    <x v="1"/>
    <n v="1347"/>
    <x v="17"/>
  </r>
  <r>
    <n v="286"/>
    <x v="0"/>
    <x v="2"/>
    <n v="529"/>
    <x v="17"/>
  </r>
  <r>
    <n v="287"/>
    <x v="0"/>
    <x v="0"/>
    <n v="523"/>
    <x v="17"/>
  </r>
  <r>
    <n v="288"/>
    <x v="3"/>
    <x v="3"/>
    <n v="1893"/>
    <x v="17"/>
  </r>
  <r>
    <n v="289"/>
    <x v="0"/>
    <x v="3"/>
    <n v="564"/>
    <x v="18"/>
  </r>
  <r>
    <n v="290"/>
    <x v="0"/>
    <x v="2"/>
    <n v="0"/>
    <x v="18"/>
  </r>
  <r>
    <n v="291"/>
    <x v="1"/>
    <x v="2"/>
    <n v="0"/>
    <x v="18"/>
  </r>
  <r>
    <n v="292"/>
    <x v="3"/>
    <x v="3"/>
    <n v="0"/>
    <x v="18"/>
  </r>
  <r>
    <n v="293"/>
    <x v="3"/>
    <x v="2"/>
    <n v="1289"/>
    <x v="18"/>
  </r>
  <r>
    <n v="294"/>
    <x v="3"/>
    <x v="0"/>
    <n v="1388"/>
    <x v="18"/>
  </r>
  <r>
    <n v="295"/>
    <x v="2"/>
    <x v="0"/>
    <n v="0"/>
    <x v="18"/>
  </r>
  <r>
    <n v="296"/>
    <x v="1"/>
    <x v="1"/>
    <n v="0"/>
    <x v="18"/>
  </r>
  <r>
    <n v="297"/>
    <x v="0"/>
    <x v="1"/>
    <n v="604"/>
    <x v="18"/>
  </r>
  <r>
    <n v="298"/>
    <x v="2"/>
    <x v="1"/>
    <n v="1500"/>
    <x v="18"/>
  </r>
  <r>
    <n v="299"/>
    <x v="2"/>
    <x v="2"/>
    <n v="0"/>
    <x v="18"/>
  </r>
  <r>
    <n v="300"/>
    <x v="1"/>
    <x v="0"/>
    <n v="877"/>
    <x v="18"/>
  </r>
  <r>
    <n v="301"/>
    <x v="3"/>
    <x v="1"/>
    <n v="0"/>
    <x v="18"/>
  </r>
  <r>
    <n v="302"/>
    <x v="1"/>
    <x v="3"/>
    <n v="0"/>
    <x v="18"/>
  </r>
  <r>
    <n v="303"/>
    <x v="0"/>
    <x v="0"/>
    <n v="0"/>
    <x v="18"/>
  </r>
  <r>
    <n v="304"/>
    <x v="2"/>
    <x v="3"/>
    <n v="0"/>
    <x v="18"/>
  </r>
  <r>
    <n v="305"/>
    <x v="2"/>
    <x v="3"/>
    <n v="1054"/>
    <x v="19"/>
  </r>
  <r>
    <n v="306"/>
    <x v="2"/>
    <x v="0"/>
    <n v="0"/>
    <x v="19"/>
  </r>
  <r>
    <n v="307"/>
    <x v="3"/>
    <x v="2"/>
    <n v="1107"/>
    <x v="19"/>
  </r>
  <r>
    <n v="308"/>
    <x v="1"/>
    <x v="1"/>
    <n v="1875"/>
    <x v="19"/>
  </r>
  <r>
    <n v="309"/>
    <x v="2"/>
    <x v="1"/>
    <n v="0"/>
    <x v="19"/>
  </r>
  <r>
    <n v="310"/>
    <x v="0"/>
    <x v="3"/>
    <n v="825"/>
    <x v="19"/>
  </r>
  <r>
    <n v="311"/>
    <x v="3"/>
    <x v="3"/>
    <n v="869"/>
    <x v="19"/>
  </r>
  <r>
    <n v="312"/>
    <x v="1"/>
    <x v="3"/>
    <n v="1172"/>
    <x v="19"/>
  </r>
  <r>
    <n v="313"/>
    <x v="3"/>
    <x v="0"/>
    <n v="2087"/>
    <x v="19"/>
  </r>
  <r>
    <n v="314"/>
    <x v="0"/>
    <x v="2"/>
    <n v="713"/>
    <x v="19"/>
  </r>
  <r>
    <n v="315"/>
    <x v="0"/>
    <x v="0"/>
    <n v="940"/>
    <x v="19"/>
  </r>
  <r>
    <n v="316"/>
    <x v="1"/>
    <x v="2"/>
    <n v="0"/>
    <x v="19"/>
  </r>
  <r>
    <n v="317"/>
    <x v="1"/>
    <x v="0"/>
    <n v="688"/>
    <x v="19"/>
  </r>
  <r>
    <n v="318"/>
    <x v="3"/>
    <x v="1"/>
    <n v="2380"/>
    <x v="19"/>
  </r>
  <r>
    <n v="319"/>
    <x v="2"/>
    <x v="2"/>
    <n v="0"/>
    <x v="19"/>
  </r>
  <r>
    <n v="320"/>
    <x v="0"/>
    <x v="1"/>
    <n v="0"/>
    <x v="19"/>
  </r>
  <r>
    <n v="321"/>
    <x v="3"/>
    <x v="0"/>
    <n v="0"/>
    <x v="20"/>
  </r>
  <r>
    <n v="322"/>
    <x v="0"/>
    <x v="3"/>
    <n v="960"/>
    <x v="20"/>
  </r>
  <r>
    <n v="323"/>
    <x v="0"/>
    <x v="2"/>
    <n v="582"/>
    <x v="20"/>
  </r>
  <r>
    <n v="324"/>
    <x v="1"/>
    <x v="2"/>
    <n v="1864"/>
    <x v="20"/>
  </r>
  <r>
    <n v="325"/>
    <x v="3"/>
    <x v="2"/>
    <n v="1037"/>
    <x v="20"/>
  </r>
  <r>
    <n v="326"/>
    <x v="3"/>
    <x v="3"/>
    <n v="1916"/>
    <x v="20"/>
  </r>
  <r>
    <n v="327"/>
    <x v="2"/>
    <x v="0"/>
    <n v="1342"/>
    <x v="20"/>
  </r>
  <r>
    <n v="328"/>
    <x v="0"/>
    <x v="0"/>
    <n v="875"/>
    <x v="20"/>
  </r>
  <r>
    <n v="329"/>
    <x v="3"/>
    <x v="1"/>
    <n v="0"/>
    <x v="20"/>
  </r>
  <r>
    <n v="330"/>
    <x v="2"/>
    <x v="1"/>
    <n v="1139"/>
    <x v="20"/>
  </r>
  <r>
    <n v="331"/>
    <x v="1"/>
    <x v="0"/>
    <n v="834"/>
    <x v="20"/>
  </r>
  <r>
    <n v="332"/>
    <x v="2"/>
    <x v="2"/>
    <n v="0"/>
    <x v="20"/>
  </r>
  <r>
    <n v="333"/>
    <x v="2"/>
    <x v="3"/>
    <n v="1038"/>
    <x v="20"/>
  </r>
  <r>
    <n v="334"/>
    <x v="1"/>
    <x v="3"/>
    <n v="847"/>
    <x v="20"/>
  </r>
  <r>
    <n v="335"/>
    <x v="0"/>
    <x v="1"/>
    <n v="808"/>
    <x v="20"/>
  </r>
  <r>
    <n v="336"/>
    <x v="1"/>
    <x v="1"/>
    <n v="0"/>
    <x v="20"/>
  </r>
  <r>
    <n v="337"/>
    <x v="3"/>
    <x v="3"/>
    <n v="0"/>
    <x v="21"/>
  </r>
  <r>
    <n v="338"/>
    <x v="3"/>
    <x v="1"/>
    <n v="2167"/>
    <x v="21"/>
  </r>
  <r>
    <n v="339"/>
    <x v="3"/>
    <x v="0"/>
    <n v="0"/>
    <x v="21"/>
  </r>
  <r>
    <n v="340"/>
    <x v="0"/>
    <x v="1"/>
    <n v="510"/>
    <x v="21"/>
  </r>
  <r>
    <n v="341"/>
    <x v="3"/>
    <x v="2"/>
    <n v="1616"/>
    <x v="21"/>
  </r>
  <r>
    <n v="342"/>
    <x v="2"/>
    <x v="2"/>
    <n v="952"/>
    <x v="21"/>
  </r>
  <r>
    <n v="343"/>
    <x v="1"/>
    <x v="2"/>
    <n v="1334"/>
    <x v="21"/>
  </r>
  <r>
    <n v="344"/>
    <x v="2"/>
    <x v="3"/>
    <n v="1437"/>
    <x v="21"/>
  </r>
  <r>
    <n v="345"/>
    <x v="1"/>
    <x v="1"/>
    <n v="845"/>
    <x v="21"/>
  </r>
  <r>
    <n v="346"/>
    <x v="2"/>
    <x v="0"/>
    <n v="1348"/>
    <x v="21"/>
  </r>
  <r>
    <n v="347"/>
    <x v="0"/>
    <x v="3"/>
    <n v="996"/>
    <x v="21"/>
  </r>
  <r>
    <n v="348"/>
    <x v="0"/>
    <x v="0"/>
    <n v="699"/>
    <x v="21"/>
  </r>
  <r>
    <n v="349"/>
    <x v="2"/>
    <x v="1"/>
    <n v="1291"/>
    <x v="21"/>
  </r>
  <r>
    <n v="350"/>
    <x v="0"/>
    <x v="2"/>
    <n v="505"/>
    <x v="21"/>
  </r>
  <r>
    <n v="351"/>
    <x v="1"/>
    <x v="0"/>
    <n v="1619"/>
    <x v="21"/>
  </r>
  <r>
    <n v="352"/>
    <x v="1"/>
    <x v="3"/>
    <n v="0"/>
    <x v="21"/>
  </r>
  <r>
    <n v="353"/>
    <x v="0"/>
    <x v="2"/>
    <n v="0"/>
    <x v="22"/>
  </r>
  <r>
    <n v="354"/>
    <x v="3"/>
    <x v="0"/>
    <n v="1747"/>
    <x v="22"/>
  </r>
  <r>
    <n v="355"/>
    <x v="1"/>
    <x v="2"/>
    <n v="1234"/>
    <x v="22"/>
  </r>
  <r>
    <n v="356"/>
    <x v="0"/>
    <x v="1"/>
    <n v="881"/>
    <x v="22"/>
  </r>
  <r>
    <n v="357"/>
    <x v="0"/>
    <x v="3"/>
    <n v="804"/>
    <x v="22"/>
  </r>
  <r>
    <n v="358"/>
    <x v="1"/>
    <x v="1"/>
    <n v="0"/>
    <x v="22"/>
  </r>
  <r>
    <n v="359"/>
    <x v="2"/>
    <x v="1"/>
    <n v="984"/>
    <x v="22"/>
  </r>
  <r>
    <n v="360"/>
    <x v="1"/>
    <x v="3"/>
    <n v="1176"/>
    <x v="22"/>
  </r>
  <r>
    <n v="361"/>
    <x v="2"/>
    <x v="2"/>
    <n v="968"/>
    <x v="22"/>
  </r>
  <r>
    <n v="362"/>
    <x v="0"/>
    <x v="0"/>
    <n v="0"/>
    <x v="22"/>
  </r>
  <r>
    <n v="363"/>
    <x v="1"/>
    <x v="0"/>
    <n v="1099"/>
    <x v="22"/>
  </r>
  <r>
    <n v="364"/>
    <x v="3"/>
    <x v="2"/>
    <n v="2447"/>
    <x v="22"/>
  </r>
  <r>
    <n v="365"/>
    <x v="3"/>
    <x v="1"/>
    <n v="2144"/>
    <x v="22"/>
  </r>
  <r>
    <n v="366"/>
    <x v="2"/>
    <x v="3"/>
    <n v="0"/>
    <x v="22"/>
  </r>
  <r>
    <n v="367"/>
    <x v="2"/>
    <x v="0"/>
    <n v="1212"/>
    <x v="22"/>
  </r>
  <r>
    <n v="368"/>
    <x v="3"/>
    <x v="3"/>
    <n v="0"/>
    <x v="22"/>
  </r>
  <r>
    <n v="369"/>
    <x v="1"/>
    <x v="2"/>
    <n v="681"/>
    <x v="23"/>
  </r>
  <r>
    <n v="370"/>
    <x v="3"/>
    <x v="2"/>
    <n v="1893"/>
    <x v="23"/>
  </r>
  <r>
    <n v="371"/>
    <x v="3"/>
    <x v="1"/>
    <n v="0"/>
    <x v="23"/>
  </r>
  <r>
    <n v="372"/>
    <x v="1"/>
    <x v="1"/>
    <n v="1395"/>
    <x v="23"/>
  </r>
  <r>
    <n v="373"/>
    <x v="1"/>
    <x v="3"/>
    <n v="0"/>
    <x v="23"/>
  </r>
  <r>
    <n v="374"/>
    <x v="0"/>
    <x v="3"/>
    <n v="528"/>
    <x v="23"/>
  </r>
  <r>
    <n v="375"/>
    <x v="2"/>
    <x v="3"/>
    <n v="965"/>
    <x v="23"/>
  </r>
  <r>
    <n v="376"/>
    <x v="2"/>
    <x v="2"/>
    <n v="0"/>
    <x v="23"/>
  </r>
  <r>
    <n v="377"/>
    <x v="0"/>
    <x v="2"/>
    <n v="767"/>
    <x v="23"/>
  </r>
  <r>
    <n v="378"/>
    <x v="3"/>
    <x v="0"/>
    <n v="1035"/>
    <x v="23"/>
  </r>
  <r>
    <n v="379"/>
    <x v="0"/>
    <x v="0"/>
    <n v="762"/>
    <x v="23"/>
  </r>
  <r>
    <n v="380"/>
    <x v="1"/>
    <x v="0"/>
    <n v="681"/>
    <x v="23"/>
  </r>
  <r>
    <n v="381"/>
    <x v="2"/>
    <x v="1"/>
    <n v="1157"/>
    <x v="23"/>
  </r>
  <r>
    <n v="382"/>
    <x v="3"/>
    <x v="3"/>
    <n v="0"/>
    <x v="23"/>
  </r>
  <r>
    <n v="383"/>
    <x v="2"/>
    <x v="0"/>
    <n v="0"/>
    <x v="23"/>
  </r>
  <r>
    <n v="384"/>
    <x v="0"/>
    <x v="1"/>
    <n v="743"/>
    <x v="23"/>
  </r>
  <r>
    <n v="385"/>
    <x v="1"/>
    <x v="2"/>
    <n v="1213"/>
    <x v="24"/>
  </r>
  <r>
    <n v="386"/>
    <x v="1"/>
    <x v="1"/>
    <n v="801"/>
    <x v="24"/>
  </r>
  <r>
    <n v="387"/>
    <x v="3"/>
    <x v="0"/>
    <n v="2406"/>
    <x v="24"/>
  </r>
  <r>
    <n v="388"/>
    <x v="1"/>
    <x v="0"/>
    <n v="729"/>
    <x v="24"/>
  </r>
  <r>
    <n v="389"/>
    <x v="3"/>
    <x v="3"/>
    <n v="1409"/>
    <x v="24"/>
  </r>
  <r>
    <n v="390"/>
    <x v="3"/>
    <x v="2"/>
    <n v="2083"/>
    <x v="24"/>
  </r>
  <r>
    <n v="391"/>
    <x v="2"/>
    <x v="3"/>
    <n v="1179"/>
    <x v="24"/>
  </r>
  <r>
    <n v="392"/>
    <x v="3"/>
    <x v="1"/>
    <n v="0"/>
    <x v="24"/>
  </r>
  <r>
    <n v="393"/>
    <x v="1"/>
    <x v="3"/>
    <n v="0"/>
    <x v="24"/>
  </r>
  <r>
    <n v="394"/>
    <x v="2"/>
    <x v="1"/>
    <n v="981"/>
    <x v="24"/>
  </r>
  <r>
    <n v="395"/>
    <x v="0"/>
    <x v="3"/>
    <n v="749"/>
    <x v="24"/>
  </r>
  <r>
    <n v="396"/>
    <x v="2"/>
    <x v="0"/>
    <n v="1069"/>
    <x v="24"/>
  </r>
  <r>
    <n v="397"/>
    <x v="0"/>
    <x v="0"/>
    <n v="0"/>
    <x v="24"/>
  </r>
  <r>
    <n v="398"/>
    <x v="0"/>
    <x v="1"/>
    <n v="838"/>
    <x v="24"/>
  </r>
  <r>
    <n v="399"/>
    <x v="2"/>
    <x v="2"/>
    <n v="1496"/>
    <x v="24"/>
  </r>
  <r>
    <n v="400"/>
    <x v="0"/>
    <x v="2"/>
    <n v="515"/>
    <x v="24"/>
  </r>
  <r>
    <n v="401"/>
    <x v="0"/>
    <x v="1"/>
    <n v="740"/>
    <x v="25"/>
  </r>
  <r>
    <n v="402"/>
    <x v="1"/>
    <x v="2"/>
    <n v="0"/>
    <x v="25"/>
  </r>
  <r>
    <n v="403"/>
    <x v="1"/>
    <x v="3"/>
    <n v="1044"/>
    <x v="25"/>
  </r>
  <r>
    <n v="404"/>
    <x v="2"/>
    <x v="3"/>
    <n v="1288"/>
    <x v="25"/>
  </r>
  <r>
    <n v="405"/>
    <x v="3"/>
    <x v="3"/>
    <n v="1466"/>
    <x v="25"/>
  </r>
  <r>
    <n v="406"/>
    <x v="3"/>
    <x v="1"/>
    <n v="1752"/>
    <x v="25"/>
  </r>
  <r>
    <n v="407"/>
    <x v="2"/>
    <x v="1"/>
    <n v="1404"/>
    <x v="25"/>
  </r>
  <r>
    <n v="408"/>
    <x v="3"/>
    <x v="2"/>
    <n v="1050"/>
    <x v="25"/>
  </r>
  <r>
    <n v="409"/>
    <x v="1"/>
    <x v="0"/>
    <n v="1243"/>
    <x v="25"/>
  </r>
  <r>
    <n v="410"/>
    <x v="2"/>
    <x v="2"/>
    <n v="0"/>
    <x v="25"/>
  </r>
  <r>
    <n v="411"/>
    <x v="2"/>
    <x v="0"/>
    <n v="1330"/>
    <x v="25"/>
  </r>
  <r>
    <n v="412"/>
    <x v="0"/>
    <x v="0"/>
    <n v="950"/>
    <x v="25"/>
  </r>
  <r>
    <n v="413"/>
    <x v="3"/>
    <x v="0"/>
    <n v="0"/>
    <x v="25"/>
  </r>
  <r>
    <n v="414"/>
    <x v="1"/>
    <x v="1"/>
    <n v="1793"/>
    <x v="25"/>
  </r>
  <r>
    <n v="415"/>
    <x v="0"/>
    <x v="2"/>
    <n v="686"/>
    <x v="25"/>
  </r>
  <r>
    <n v="416"/>
    <x v="0"/>
    <x v="3"/>
    <n v="837"/>
    <x v="25"/>
  </r>
  <r>
    <n v="1"/>
    <x v="3"/>
    <x v="1"/>
    <n v="1250"/>
    <x v="26"/>
  </r>
  <r>
    <n v="2"/>
    <x v="0"/>
    <x v="1"/>
    <n v="699"/>
    <x v="26"/>
  </r>
  <r>
    <n v="3"/>
    <x v="3"/>
    <x v="3"/>
    <n v="0"/>
    <x v="26"/>
  </r>
  <r>
    <n v="4"/>
    <x v="3"/>
    <x v="0"/>
    <n v="1683"/>
    <x v="26"/>
  </r>
  <r>
    <n v="5"/>
    <x v="2"/>
    <x v="1"/>
    <n v="0"/>
    <x v="26"/>
  </r>
  <r>
    <n v="6"/>
    <x v="2"/>
    <x v="3"/>
    <n v="1303"/>
    <x v="26"/>
  </r>
  <r>
    <n v="7"/>
    <x v="1"/>
    <x v="3"/>
    <n v="1154"/>
    <x v="26"/>
  </r>
  <r>
    <n v="8"/>
    <x v="1"/>
    <x v="1"/>
    <n v="1105"/>
    <x v="26"/>
  </r>
  <r>
    <n v="9"/>
    <x v="2"/>
    <x v="0"/>
    <n v="1325"/>
    <x v="26"/>
  </r>
  <r>
    <n v="10"/>
    <x v="1"/>
    <x v="0"/>
    <n v="0"/>
    <x v="26"/>
  </r>
  <r>
    <n v="11"/>
    <x v="0"/>
    <x v="3"/>
    <n v="0"/>
    <x v="26"/>
  </r>
  <r>
    <n v="12"/>
    <x v="0"/>
    <x v="2"/>
    <n v="528"/>
    <x v="26"/>
  </r>
  <r>
    <n v="13"/>
    <x v="3"/>
    <x v="2"/>
    <n v="2326"/>
    <x v="26"/>
  </r>
  <r>
    <n v="14"/>
    <x v="2"/>
    <x v="2"/>
    <n v="1060"/>
    <x v="26"/>
  </r>
  <r>
    <n v="15"/>
    <x v="1"/>
    <x v="2"/>
    <n v="0"/>
    <x v="26"/>
  </r>
  <r>
    <n v="16"/>
    <x v="0"/>
    <x v="0"/>
    <n v="0"/>
    <x v="26"/>
  </r>
  <r>
    <n v="17"/>
    <x v="3"/>
    <x v="3"/>
    <n v="1628"/>
    <x v="27"/>
  </r>
  <r>
    <n v="18"/>
    <x v="2"/>
    <x v="3"/>
    <n v="941"/>
    <x v="27"/>
  </r>
  <r>
    <n v="19"/>
    <x v="0"/>
    <x v="2"/>
    <n v="671"/>
    <x v="27"/>
  </r>
  <r>
    <n v="20"/>
    <x v="2"/>
    <x v="1"/>
    <n v="925"/>
    <x v="27"/>
  </r>
  <r>
    <n v="21"/>
    <x v="0"/>
    <x v="1"/>
    <n v="905"/>
    <x v="27"/>
  </r>
  <r>
    <n v="22"/>
    <x v="1"/>
    <x v="3"/>
    <n v="850"/>
    <x v="27"/>
  </r>
  <r>
    <n v="23"/>
    <x v="3"/>
    <x v="1"/>
    <n v="1261"/>
    <x v="27"/>
  </r>
  <r>
    <n v="24"/>
    <x v="1"/>
    <x v="2"/>
    <n v="1774"/>
    <x v="27"/>
  </r>
  <r>
    <n v="25"/>
    <x v="3"/>
    <x v="2"/>
    <n v="1298"/>
    <x v="27"/>
  </r>
  <r>
    <n v="26"/>
    <x v="0"/>
    <x v="3"/>
    <n v="904"/>
    <x v="27"/>
  </r>
  <r>
    <n v="27"/>
    <x v="2"/>
    <x v="0"/>
    <n v="0"/>
    <x v="27"/>
  </r>
  <r>
    <n v="28"/>
    <x v="2"/>
    <x v="2"/>
    <n v="1137"/>
    <x v="27"/>
  </r>
  <r>
    <n v="29"/>
    <x v="1"/>
    <x v="1"/>
    <n v="1976"/>
    <x v="27"/>
  </r>
  <r>
    <n v="30"/>
    <x v="0"/>
    <x v="0"/>
    <n v="543"/>
    <x v="27"/>
  </r>
  <r>
    <n v="31"/>
    <x v="1"/>
    <x v="0"/>
    <n v="1021"/>
    <x v="27"/>
  </r>
  <r>
    <n v="32"/>
    <x v="3"/>
    <x v="0"/>
    <n v="1887"/>
    <x v="27"/>
  </r>
  <r>
    <n v="33"/>
    <x v="1"/>
    <x v="3"/>
    <n v="1175"/>
    <x v="28"/>
  </r>
  <r>
    <n v="34"/>
    <x v="1"/>
    <x v="1"/>
    <n v="754"/>
    <x v="28"/>
  </r>
  <r>
    <n v="35"/>
    <x v="2"/>
    <x v="1"/>
    <n v="0"/>
    <x v="28"/>
  </r>
  <r>
    <n v="36"/>
    <x v="0"/>
    <x v="2"/>
    <n v="697"/>
    <x v="28"/>
  </r>
  <r>
    <n v="37"/>
    <x v="1"/>
    <x v="2"/>
    <n v="1227"/>
    <x v="28"/>
  </r>
  <r>
    <n v="38"/>
    <x v="3"/>
    <x v="3"/>
    <n v="0"/>
    <x v="28"/>
  </r>
  <r>
    <n v="39"/>
    <x v="3"/>
    <x v="2"/>
    <n v="0"/>
    <x v="28"/>
  </r>
  <r>
    <n v="40"/>
    <x v="3"/>
    <x v="1"/>
    <n v="0"/>
    <x v="28"/>
  </r>
  <r>
    <n v="41"/>
    <x v="0"/>
    <x v="0"/>
    <n v="933"/>
    <x v="28"/>
  </r>
  <r>
    <n v="42"/>
    <x v="3"/>
    <x v="0"/>
    <n v="1164"/>
    <x v="28"/>
  </r>
  <r>
    <n v="43"/>
    <x v="0"/>
    <x v="1"/>
    <n v="764"/>
    <x v="28"/>
  </r>
  <r>
    <n v="44"/>
    <x v="2"/>
    <x v="3"/>
    <n v="0"/>
    <x v="28"/>
  </r>
  <r>
    <n v="45"/>
    <x v="1"/>
    <x v="0"/>
    <n v="1950"/>
    <x v="28"/>
  </r>
  <r>
    <n v="46"/>
    <x v="0"/>
    <x v="3"/>
    <n v="0"/>
    <x v="28"/>
  </r>
  <r>
    <n v="47"/>
    <x v="2"/>
    <x v="0"/>
    <n v="1338"/>
    <x v="28"/>
  </r>
  <r>
    <n v="48"/>
    <x v="2"/>
    <x v="2"/>
    <n v="1464"/>
    <x v="28"/>
  </r>
  <r>
    <n v="49"/>
    <x v="1"/>
    <x v="2"/>
    <n v="0"/>
    <x v="29"/>
  </r>
  <r>
    <n v="50"/>
    <x v="0"/>
    <x v="2"/>
    <n v="731"/>
    <x v="29"/>
  </r>
  <r>
    <n v="51"/>
    <x v="2"/>
    <x v="3"/>
    <n v="0"/>
    <x v="29"/>
  </r>
  <r>
    <n v="52"/>
    <x v="3"/>
    <x v="0"/>
    <n v="1228"/>
    <x v="29"/>
  </r>
  <r>
    <n v="53"/>
    <x v="1"/>
    <x v="0"/>
    <n v="1305"/>
    <x v="29"/>
  </r>
  <r>
    <n v="54"/>
    <x v="0"/>
    <x v="0"/>
    <n v="0"/>
    <x v="29"/>
  </r>
  <r>
    <n v="55"/>
    <x v="2"/>
    <x v="2"/>
    <n v="1133"/>
    <x v="29"/>
  </r>
  <r>
    <n v="56"/>
    <x v="2"/>
    <x v="0"/>
    <n v="0"/>
    <x v="29"/>
  </r>
  <r>
    <n v="57"/>
    <x v="3"/>
    <x v="2"/>
    <n v="803"/>
    <x v="29"/>
  </r>
  <r>
    <n v="58"/>
    <x v="1"/>
    <x v="1"/>
    <n v="0"/>
    <x v="29"/>
  </r>
  <r>
    <n v="59"/>
    <x v="2"/>
    <x v="1"/>
    <n v="1227"/>
    <x v="29"/>
  </r>
  <r>
    <n v="60"/>
    <x v="0"/>
    <x v="3"/>
    <n v="553"/>
    <x v="29"/>
  </r>
  <r>
    <n v="61"/>
    <x v="3"/>
    <x v="3"/>
    <n v="1281"/>
    <x v="29"/>
  </r>
  <r>
    <n v="62"/>
    <x v="3"/>
    <x v="1"/>
    <n v="0"/>
    <x v="29"/>
  </r>
  <r>
    <n v="63"/>
    <x v="0"/>
    <x v="1"/>
    <n v="695"/>
    <x v="29"/>
  </r>
  <r>
    <n v="64"/>
    <x v="1"/>
    <x v="3"/>
    <n v="660"/>
    <x v="29"/>
  </r>
  <r>
    <n v="65"/>
    <x v="2"/>
    <x v="2"/>
    <n v="1305"/>
    <x v="30"/>
  </r>
  <r>
    <n v="66"/>
    <x v="2"/>
    <x v="0"/>
    <n v="1142"/>
    <x v="30"/>
  </r>
  <r>
    <n v="67"/>
    <x v="2"/>
    <x v="1"/>
    <n v="1155"/>
    <x v="30"/>
  </r>
  <r>
    <n v="68"/>
    <x v="0"/>
    <x v="0"/>
    <n v="906"/>
    <x v="30"/>
  </r>
  <r>
    <n v="69"/>
    <x v="1"/>
    <x v="0"/>
    <n v="874"/>
    <x v="30"/>
  </r>
  <r>
    <n v="70"/>
    <x v="3"/>
    <x v="3"/>
    <n v="1562"/>
    <x v="30"/>
  </r>
  <r>
    <n v="71"/>
    <x v="0"/>
    <x v="1"/>
    <n v="0"/>
    <x v="30"/>
  </r>
  <r>
    <n v="72"/>
    <x v="1"/>
    <x v="1"/>
    <n v="0"/>
    <x v="30"/>
  </r>
  <r>
    <n v="73"/>
    <x v="1"/>
    <x v="2"/>
    <n v="0"/>
    <x v="30"/>
  </r>
  <r>
    <n v="74"/>
    <x v="0"/>
    <x v="2"/>
    <n v="900"/>
    <x v="30"/>
  </r>
  <r>
    <n v="75"/>
    <x v="3"/>
    <x v="1"/>
    <n v="1381"/>
    <x v="30"/>
  </r>
  <r>
    <n v="76"/>
    <x v="2"/>
    <x v="3"/>
    <n v="1247"/>
    <x v="30"/>
  </r>
  <r>
    <n v="77"/>
    <x v="0"/>
    <x v="3"/>
    <n v="629"/>
    <x v="30"/>
  </r>
  <r>
    <n v="78"/>
    <x v="3"/>
    <x v="0"/>
    <n v="1364"/>
    <x v="30"/>
  </r>
  <r>
    <n v="79"/>
    <x v="1"/>
    <x v="3"/>
    <n v="1389"/>
    <x v="30"/>
  </r>
  <r>
    <n v="80"/>
    <x v="3"/>
    <x v="2"/>
    <n v="0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44336-695C-4858-8824-C31944CB431D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 rowHeaderCaption="PRODUTOS">
  <location ref="S32:U37" firstHeaderRow="0" firstDataRow="1" firstDataCol="1"/>
  <pivotFields count="5">
    <pivotField showAll="0"/>
    <pivotField multipleItemSelectionAllowed="1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6" showAll="0"/>
    <pivotField numFmtId="1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 DAS VENDAS" fld="3" baseField="1" baseItem="2" numFmtId="166"/>
    <dataField name="%" fld="3" showDataAs="percentOfTotal" baseField="0" baseItem="0" numFmtId="10"/>
  </dataFields>
  <formats count="2"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38DA4-0823-415B-BABA-05D86AF12108}" name="Tabela dinâmica8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 rowHeaderCaption="VENDEDORES">
  <location ref="E23:E24" firstHeaderRow="1" firstDataRow="1" firstDataCol="0"/>
  <pivotFields count="5">
    <pivotField showAll="0"/>
    <pivotField showAll="0">
      <items count="5">
        <item x="0"/>
        <item x="1"/>
        <item x="3"/>
        <item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ataField="1" numFmtId="166" showAll="0"/>
    <pivotField numFmtId="14" showAll="0"/>
  </pivotFields>
  <rowItems count="1">
    <i/>
  </rowItems>
  <colItems count="1">
    <i/>
  </colItems>
  <dataFields count="1">
    <dataField name="Contagem de SALES AMOUNT  " fld="3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A50D2-C168-4070-8CD5-FDA4707BF9E1}" name="VENDEDORE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2" rowHeaderCaption="VENDEDORES">
  <location ref="D3:E8" firstHeaderRow="1" firstDataRow="1" firstDataCol="1"/>
  <pivotFields count="5">
    <pivotField showAll="0"/>
    <pivotField showAll="0">
      <items count="5">
        <item x="0"/>
        <item x="1"/>
        <item x="3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numFmtId="166" showAll="0"/>
    <pivotField numFmtId="1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DAS VENDAS" fld="3" baseField="2" baseItem="0" numFmtId="166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1B55C-85CC-4988-9FBD-B3B4164AD82C}" name="Tabela dE VENDAS POR VENDEDOR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VENDEDORES" colHeaderCaption="PRODUTOS">
  <location ref="D11:I17" firstHeaderRow="1" firstDataRow="2" firstDataCol="1"/>
  <pivotFields count="5">
    <pivotField showAll="0"/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numFmtId="166" showAll="0"/>
    <pivotField numFmtId="1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VENDAS POR VENDEDOR" fld="3" baseField="2" baseItem="0" numFmtId="166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6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EA3E1-7086-4598-A3F0-6CD5EA149683}" name="Tabela dinâmica10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 rowHeaderCaption="PRODUTOS">
  <location ref="N16:P21" firstHeaderRow="0" firstDataRow="1" firstDataCol="1"/>
  <pivotFields count="5"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2"/>
        <item x="3"/>
        <item t="default"/>
      </items>
    </pivotField>
    <pivotField dataField="1" numFmtId="166" showAll="0"/>
    <pivotField numFmtId="14" showAll="0"/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 DAS VENDAS" fld="3" baseField="1" baseItem="2" numFmtId="166"/>
    <dataField name="%" fld="3" showDataAs="percentOfTotal" baseField="0" baseItem="0" numFmtId="10"/>
  </dataFields>
  <formats count="2"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7A3B3-A457-4AB1-9B94-CC24CDEC95ED}" name="Tabela VENDAS DIÁRI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 rowHeaderCaption="DIAS">
  <location ref="A11:B43" firstHeaderRow="1" firstDataRow="1" firstDataCol="1"/>
  <pivotFields count="5">
    <pivotField showAll="0"/>
    <pivotField showAll="0">
      <items count="5">
        <item x="0"/>
        <item x="1"/>
        <item x="3"/>
        <item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ataField="1" numFmtId="166" showAll="0"/>
    <pivotField axis="axisRow" numFmtId="168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VENDAS NO MÊS " fld="3" baseField="4" baseItem="0" numFmtId="166"/>
  </dataFields>
  <formats count="1">
    <format dxfId="4">
      <pivotArea dataOnly="0" labelOnly="1" fieldPosition="0">
        <references count="1">
          <reference field="4" count="0"/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90681-03F1-43A7-B03F-03324F28036D}" name="Tabela dinâ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 rowHeaderCaption="VENDEDORES">
  <location ref="E19:E20" firstHeaderRow="1" firstDataRow="1" firstDataCol="0"/>
  <pivotFields count="5">
    <pivotField showAll="0"/>
    <pivotField showAll="0">
      <items count="5">
        <item x="0"/>
        <item x="1"/>
        <item x="3"/>
        <item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ataField="1" numFmtId="166" showAll="0"/>
    <pivotField numFmtId="14" showAll="0"/>
  </pivotFields>
  <rowItems count="1">
    <i/>
  </rowItems>
  <colItems count="1">
    <i/>
  </colItems>
  <dataFields count="1">
    <dataField name="TOTAL DAS VENDAS" fld="3" baseField="0" baseItem="0" numFmtId="166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3CE12-AF7A-49D1-B63E-70527659BDF3}" name="TABELA DE VEND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PRODUTOS">
  <location ref="A3:B8" firstHeaderRow="1" firstDataRow="1" firstDataCol="1"/>
  <pivotFields count="5"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2"/>
        <item x="3"/>
        <item t="default"/>
      </items>
    </pivotField>
    <pivotField dataField="1" numFmtId="166" showAll="0"/>
    <pivotField numFmtId="14" showAll="0"/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TOTAL DAS VENDAS" fld="3" baseField="1" baseItem="1" numFmtId="166"/>
  </dataFields>
  <chartFormats count="10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13945-879A-4EA6-B5FD-997E70D2C251}" name="Tabela dinâmica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 rowHeaderCaption="VENDEDORES">
  <location ref="H21:J38" firstHeaderRow="1" firstDataRow="1" firstDataCol="0"/>
  <pivotFields count="5"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numFmtId="166" showAll="0"/>
    <pivotField numFmtId="1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ALES_PERSON" xr10:uid="{5ED94B13-8344-4029-8F12-C97BE53332B4}" sourceName="SALES PERSON">
  <pivotTables>
    <pivotTable tabId="11" name="Tabela dinâmica4"/>
    <pivotTable tabId="11" name="Tabela dinâmica8"/>
    <pivotTable tabId="11" name="Tabela dinâmica10"/>
    <pivotTable tabId="11" name="TABELA DE VENDAS"/>
    <pivotTable tabId="11" name="Tabela VENDAS DIÁRIA"/>
    <pivotTable tabId="11" name="Tabela dE VENDAS POR VENDEDOR"/>
  </pivotTables>
  <data>
    <tabular pivotCacheId="1602354678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CT" xr10:uid="{37F76B67-67C8-40B2-8898-591AAEA07DB3}" sourceName="PRODUCT">
  <pivotTables>
    <pivotTable tabId="11" name="VENDEDORES"/>
    <pivotTable tabId="11" name="Tabela dE VENDAS POR VENDEDOR"/>
    <pivotTable tabId="11" name="Tabela dinâmica10"/>
    <pivotTable tabId="11" name="Tabela dinâmica4"/>
    <pivotTable tabId="11" name="Tabela dinâmica6"/>
    <pivotTable tabId="11" name="Tabela dinâmica8"/>
    <pivotTable tabId="11" name="Tabela VENDAS DIÁRIA"/>
    <pivotTable tabId="11" name="Tabela dinâmica2"/>
  </pivotTables>
  <data>
    <tabular pivotCacheId="1602354678">
      <items count="4">
        <i x="0" s="1"/>
        <i x="1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 PERSON" xr10:uid="{ADCC6DDE-2CB5-438E-82DD-37EF6CA36F99}" cache="SegmentaçãodeDados_SALES_PERSON" caption="SALES PERSON" rowHeight="241300"/>
  <slicer name="PRODUCT" xr10:uid="{669E70D5-BC20-4025-9AD2-DE6D5D1897FF}" cache="SegmentaçãodeDados_PRODUCT" caption="PRODUCT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ES" xr10:uid="{7B408B98-DF50-4123-A476-B1DBCD2F1939}" cache="SegmentaçãodeDados_SALES_PERSON" caption="VENDEDORES" startItem="1" style="SlicerStyleDark6" rowHeight="612000"/>
  <slicer name="PRODUCT 1" xr10:uid="{743B6C99-2254-417B-BC0C-9DD42BCC5E88}" cache="SegmentaçãodeDados_PRODUCT" caption="PRODUTOS" style="SlicerStyleDark6" rowHeight="61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272D4-76D5-4006-8D4B-4D7565D59EC3}" name="Tabela1" displayName="Tabela1" ref="A1:E497" totalsRowShown="0" headerRowDxfId="11" dataDxfId="10">
  <autoFilter ref="A1:E497" xr:uid="{851272D4-76D5-4006-8D4B-4D7565D59EC3}"/>
  <sortState xmlns:xlrd2="http://schemas.microsoft.com/office/spreadsheetml/2017/richdata2" ref="A2:E497">
    <sortCondition ref="E2:E497"/>
  </sortState>
  <tableColumns count="5">
    <tableColumn id="1" xr3:uid="{0834CE93-68D7-41A4-B217-549C6B545166}" name="Nº" dataDxfId="9">
      <calculatedColumnFormula>A1+1</calculatedColumnFormula>
    </tableColumn>
    <tableColumn id="2" xr3:uid="{DB0C980E-CBEA-4000-A494-ED7A6C697BB4}" name="PRODUCT" dataDxfId="8"/>
    <tableColumn id="3" xr3:uid="{D072481E-AF81-4700-9AE5-1B9164CCEBAE}" name="SALES PERSON" dataDxfId="7"/>
    <tableColumn id="4" xr3:uid="{C6A774D9-5934-443E-899E-34826607668A}" name="SALES AMOUNT  " dataDxfId="6"/>
    <tableColumn id="5" xr3:uid="{9E7CFFF5-9F88-4403-ADA3-1DE6CC2ABF9D}" name="DAT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4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A3BB-7766-4EF0-B6CF-0F55E014C72A}">
  <dimension ref="A1"/>
  <sheetViews>
    <sheetView showGridLines="0" showRowColHeaders="0" zoomScale="71" zoomScaleNormal="71" workbookViewId="0">
      <selection activeCell="Y2" sqref="Y2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12F9-31E5-4E50-B81C-C81A9365CD57}">
  <dimension ref="A1:B501"/>
  <sheetViews>
    <sheetView workbookViewId="0"/>
  </sheetViews>
  <sheetFormatPr defaultRowHeight="14.5" x14ac:dyDescent="0.35"/>
  <cols>
    <col min="1" max="1" width="10.453125" style="1" customWidth="1"/>
    <col min="2" max="2" width="50.6328125" customWidth="1"/>
  </cols>
  <sheetData>
    <row r="1" spans="1:2" x14ac:dyDescent="0.35">
      <c r="A1" s="22" t="s">
        <v>0</v>
      </c>
      <c r="B1" s="26" t="s">
        <v>529</v>
      </c>
    </row>
    <row r="2" spans="1:2" x14ac:dyDescent="0.35">
      <c r="A2" s="23">
        <v>1</v>
      </c>
      <c r="B2" t="s">
        <v>496</v>
      </c>
    </row>
    <row r="3" spans="1:2" x14ac:dyDescent="0.35">
      <c r="A3" s="23">
        <f t="shared" ref="A3:A66" si="0">A2+1</f>
        <v>2</v>
      </c>
      <c r="B3" t="s">
        <v>1</v>
      </c>
    </row>
    <row r="4" spans="1:2" x14ac:dyDescent="0.35">
      <c r="A4" s="23">
        <f>A3+1</f>
        <v>3</v>
      </c>
      <c r="B4" t="s">
        <v>2</v>
      </c>
    </row>
    <row r="5" spans="1:2" x14ac:dyDescent="0.35">
      <c r="A5" s="23">
        <f t="shared" si="0"/>
        <v>4</v>
      </c>
      <c r="B5" t="s">
        <v>3</v>
      </c>
    </row>
    <row r="6" spans="1:2" x14ac:dyDescent="0.35">
      <c r="A6" s="23">
        <f t="shared" si="0"/>
        <v>5</v>
      </c>
      <c r="B6" t="s">
        <v>4</v>
      </c>
    </row>
    <row r="7" spans="1:2" x14ac:dyDescent="0.35">
      <c r="A7" s="23">
        <f t="shared" si="0"/>
        <v>6</v>
      </c>
      <c r="B7" t="s">
        <v>5</v>
      </c>
    </row>
    <row r="8" spans="1:2" x14ac:dyDescent="0.35">
      <c r="A8" s="23">
        <f t="shared" si="0"/>
        <v>7</v>
      </c>
      <c r="B8" t="s">
        <v>6</v>
      </c>
    </row>
    <row r="9" spans="1:2" x14ac:dyDescent="0.35">
      <c r="A9" s="23">
        <f t="shared" si="0"/>
        <v>8</v>
      </c>
      <c r="B9" t="s">
        <v>7</v>
      </c>
    </row>
    <row r="10" spans="1:2" x14ac:dyDescent="0.35">
      <c r="A10" s="23">
        <f t="shared" si="0"/>
        <v>9</v>
      </c>
      <c r="B10" t="s">
        <v>8</v>
      </c>
    </row>
    <row r="11" spans="1:2" x14ac:dyDescent="0.35">
      <c r="A11" s="23">
        <f t="shared" si="0"/>
        <v>10</v>
      </c>
      <c r="B11" t="s">
        <v>9</v>
      </c>
    </row>
    <row r="12" spans="1:2" x14ac:dyDescent="0.35">
      <c r="A12" s="23">
        <f t="shared" si="0"/>
        <v>11</v>
      </c>
      <c r="B12" t="s">
        <v>10</v>
      </c>
    </row>
    <row r="13" spans="1:2" x14ac:dyDescent="0.35">
      <c r="A13" s="23">
        <f t="shared" si="0"/>
        <v>12</v>
      </c>
      <c r="B13" t="s">
        <v>11</v>
      </c>
    </row>
    <row r="14" spans="1:2" x14ac:dyDescent="0.35">
      <c r="A14" s="23">
        <f t="shared" si="0"/>
        <v>13</v>
      </c>
      <c r="B14" t="s">
        <v>12</v>
      </c>
    </row>
    <row r="15" spans="1:2" x14ac:dyDescent="0.35">
      <c r="A15" s="23">
        <f t="shared" si="0"/>
        <v>14</v>
      </c>
      <c r="B15" t="s">
        <v>13</v>
      </c>
    </row>
    <row r="16" spans="1:2" x14ac:dyDescent="0.35">
      <c r="A16" s="23">
        <f t="shared" si="0"/>
        <v>15</v>
      </c>
      <c r="B16" t="s">
        <v>14</v>
      </c>
    </row>
    <row r="17" spans="1:2" x14ac:dyDescent="0.35">
      <c r="A17" s="23">
        <f t="shared" si="0"/>
        <v>16</v>
      </c>
      <c r="B17" t="s">
        <v>15</v>
      </c>
    </row>
    <row r="18" spans="1:2" x14ac:dyDescent="0.35">
      <c r="A18" s="23">
        <f t="shared" si="0"/>
        <v>17</v>
      </c>
      <c r="B18" t="s">
        <v>16</v>
      </c>
    </row>
    <row r="19" spans="1:2" x14ac:dyDescent="0.35">
      <c r="A19" s="23">
        <f t="shared" si="0"/>
        <v>18</v>
      </c>
      <c r="B19" t="s">
        <v>17</v>
      </c>
    </row>
    <row r="20" spans="1:2" x14ac:dyDescent="0.35">
      <c r="A20" s="23">
        <f t="shared" si="0"/>
        <v>19</v>
      </c>
      <c r="B20" t="s">
        <v>18</v>
      </c>
    </row>
    <row r="21" spans="1:2" x14ac:dyDescent="0.35">
      <c r="A21" s="23">
        <f t="shared" si="0"/>
        <v>20</v>
      </c>
      <c r="B21" t="s">
        <v>19</v>
      </c>
    </row>
    <row r="22" spans="1:2" x14ac:dyDescent="0.35">
      <c r="A22" s="23">
        <f t="shared" si="0"/>
        <v>21</v>
      </c>
      <c r="B22" t="s">
        <v>20</v>
      </c>
    </row>
    <row r="23" spans="1:2" x14ac:dyDescent="0.35">
      <c r="A23" s="23">
        <f t="shared" si="0"/>
        <v>22</v>
      </c>
      <c r="B23" t="s">
        <v>21</v>
      </c>
    </row>
    <row r="24" spans="1:2" x14ac:dyDescent="0.35">
      <c r="A24" s="23">
        <f t="shared" si="0"/>
        <v>23</v>
      </c>
      <c r="B24" t="s">
        <v>22</v>
      </c>
    </row>
    <row r="25" spans="1:2" x14ac:dyDescent="0.35">
      <c r="A25" s="23">
        <f t="shared" si="0"/>
        <v>24</v>
      </c>
      <c r="B25" t="s">
        <v>23</v>
      </c>
    </row>
    <row r="26" spans="1:2" x14ac:dyDescent="0.35">
      <c r="A26" s="23">
        <f t="shared" si="0"/>
        <v>25</v>
      </c>
      <c r="B26" t="s">
        <v>24</v>
      </c>
    </row>
    <row r="27" spans="1:2" x14ac:dyDescent="0.35">
      <c r="A27" s="23">
        <f t="shared" si="0"/>
        <v>26</v>
      </c>
      <c r="B27" t="s">
        <v>25</v>
      </c>
    </row>
    <row r="28" spans="1:2" x14ac:dyDescent="0.35">
      <c r="A28" s="23">
        <f t="shared" si="0"/>
        <v>27</v>
      </c>
      <c r="B28" t="s">
        <v>26</v>
      </c>
    </row>
    <row r="29" spans="1:2" x14ac:dyDescent="0.35">
      <c r="A29" s="23">
        <f t="shared" si="0"/>
        <v>28</v>
      </c>
      <c r="B29" t="s">
        <v>27</v>
      </c>
    </row>
    <row r="30" spans="1:2" x14ac:dyDescent="0.35">
      <c r="A30" s="23">
        <f t="shared" si="0"/>
        <v>29</v>
      </c>
      <c r="B30" t="s">
        <v>28</v>
      </c>
    </row>
    <row r="31" spans="1:2" x14ac:dyDescent="0.35">
      <c r="A31" s="23">
        <f t="shared" si="0"/>
        <v>30</v>
      </c>
      <c r="B31" t="s">
        <v>29</v>
      </c>
    </row>
    <row r="32" spans="1:2" x14ac:dyDescent="0.35">
      <c r="A32" s="23">
        <f t="shared" si="0"/>
        <v>31</v>
      </c>
      <c r="B32" t="s">
        <v>30</v>
      </c>
    </row>
    <row r="33" spans="1:2" x14ac:dyDescent="0.35">
      <c r="A33" s="23">
        <f t="shared" si="0"/>
        <v>32</v>
      </c>
      <c r="B33" t="s">
        <v>31</v>
      </c>
    </row>
    <row r="34" spans="1:2" x14ac:dyDescent="0.35">
      <c r="A34" s="23">
        <f t="shared" si="0"/>
        <v>33</v>
      </c>
      <c r="B34" t="s">
        <v>32</v>
      </c>
    </row>
    <row r="35" spans="1:2" x14ac:dyDescent="0.35">
      <c r="A35" s="23">
        <f t="shared" si="0"/>
        <v>34</v>
      </c>
      <c r="B35" t="s">
        <v>33</v>
      </c>
    </row>
    <row r="36" spans="1:2" x14ac:dyDescent="0.35">
      <c r="A36" s="23">
        <f t="shared" si="0"/>
        <v>35</v>
      </c>
      <c r="B36" t="s">
        <v>34</v>
      </c>
    </row>
    <row r="37" spans="1:2" x14ac:dyDescent="0.35">
      <c r="A37" s="23">
        <f t="shared" si="0"/>
        <v>36</v>
      </c>
      <c r="B37" t="s">
        <v>35</v>
      </c>
    </row>
    <row r="38" spans="1:2" x14ac:dyDescent="0.35">
      <c r="A38" s="23">
        <f t="shared" si="0"/>
        <v>37</v>
      </c>
      <c r="B38" t="s">
        <v>36</v>
      </c>
    </row>
    <row r="39" spans="1:2" x14ac:dyDescent="0.35">
      <c r="A39" s="23">
        <f t="shared" si="0"/>
        <v>38</v>
      </c>
      <c r="B39" t="s">
        <v>37</v>
      </c>
    </row>
    <row r="40" spans="1:2" x14ac:dyDescent="0.35">
      <c r="A40" s="23">
        <f t="shared" si="0"/>
        <v>39</v>
      </c>
      <c r="B40" t="s">
        <v>38</v>
      </c>
    </row>
    <row r="41" spans="1:2" x14ac:dyDescent="0.35">
      <c r="A41" s="23">
        <f t="shared" si="0"/>
        <v>40</v>
      </c>
      <c r="B41" t="s">
        <v>39</v>
      </c>
    </row>
    <row r="42" spans="1:2" x14ac:dyDescent="0.35">
      <c r="A42" s="23">
        <f t="shared" si="0"/>
        <v>41</v>
      </c>
      <c r="B42" t="s">
        <v>40</v>
      </c>
    </row>
    <row r="43" spans="1:2" x14ac:dyDescent="0.35">
      <c r="A43" s="23">
        <f t="shared" si="0"/>
        <v>42</v>
      </c>
      <c r="B43" t="s">
        <v>41</v>
      </c>
    </row>
    <row r="44" spans="1:2" x14ac:dyDescent="0.35">
      <c r="A44" s="23">
        <f t="shared" si="0"/>
        <v>43</v>
      </c>
      <c r="B44" t="s">
        <v>42</v>
      </c>
    </row>
    <row r="45" spans="1:2" x14ac:dyDescent="0.35">
      <c r="A45" s="23">
        <f t="shared" si="0"/>
        <v>44</v>
      </c>
      <c r="B45" t="s">
        <v>43</v>
      </c>
    </row>
    <row r="46" spans="1:2" x14ac:dyDescent="0.35">
      <c r="A46" s="23">
        <f t="shared" si="0"/>
        <v>45</v>
      </c>
      <c r="B46" t="s">
        <v>44</v>
      </c>
    </row>
    <row r="47" spans="1:2" x14ac:dyDescent="0.35">
      <c r="A47" s="23">
        <f t="shared" si="0"/>
        <v>46</v>
      </c>
      <c r="B47" t="s">
        <v>45</v>
      </c>
    </row>
    <row r="48" spans="1:2" x14ac:dyDescent="0.35">
      <c r="A48" s="23">
        <f t="shared" si="0"/>
        <v>47</v>
      </c>
      <c r="B48" t="s">
        <v>46</v>
      </c>
    </row>
    <row r="49" spans="1:2" x14ac:dyDescent="0.35">
      <c r="A49" s="23">
        <f t="shared" si="0"/>
        <v>48</v>
      </c>
      <c r="B49" t="s">
        <v>47</v>
      </c>
    </row>
    <row r="50" spans="1:2" x14ac:dyDescent="0.35">
      <c r="A50" s="23">
        <f t="shared" si="0"/>
        <v>49</v>
      </c>
      <c r="B50" t="s">
        <v>48</v>
      </c>
    </row>
    <row r="51" spans="1:2" x14ac:dyDescent="0.35">
      <c r="A51" s="23">
        <f t="shared" si="0"/>
        <v>50</v>
      </c>
      <c r="B51" t="s">
        <v>49</v>
      </c>
    </row>
    <row r="52" spans="1:2" x14ac:dyDescent="0.35">
      <c r="A52" s="23">
        <f t="shared" si="0"/>
        <v>51</v>
      </c>
      <c r="B52" t="s">
        <v>50</v>
      </c>
    </row>
    <row r="53" spans="1:2" x14ac:dyDescent="0.35">
      <c r="A53" s="23">
        <f t="shared" si="0"/>
        <v>52</v>
      </c>
      <c r="B53" t="s">
        <v>51</v>
      </c>
    </row>
    <row r="54" spans="1:2" x14ac:dyDescent="0.35">
      <c r="A54" s="23">
        <f t="shared" si="0"/>
        <v>53</v>
      </c>
      <c r="B54" t="s">
        <v>52</v>
      </c>
    </row>
    <row r="55" spans="1:2" x14ac:dyDescent="0.35">
      <c r="A55" s="23">
        <f t="shared" si="0"/>
        <v>54</v>
      </c>
      <c r="B55" t="s">
        <v>53</v>
      </c>
    </row>
    <row r="56" spans="1:2" x14ac:dyDescent="0.35">
      <c r="A56" s="23">
        <f t="shared" si="0"/>
        <v>55</v>
      </c>
      <c r="B56" t="s">
        <v>54</v>
      </c>
    </row>
    <row r="57" spans="1:2" x14ac:dyDescent="0.35">
      <c r="A57" s="23">
        <f t="shared" si="0"/>
        <v>56</v>
      </c>
      <c r="B57" t="s">
        <v>55</v>
      </c>
    </row>
    <row r="58" spans="1:2" x14ac:dyDescent="0.35">
      <c r="A58" s="23">
        <f t="shared" si="0"/>
        <v>57</v>
      </c>
      <c r="B58" t="s">
        <v>56</v>
      </c>
    </row>
    <row r="59" spans="1:2" x14ac:dyDescent="0.35">
      <c r="A59" s="23">
        <f t="shared" si="0"/>
        <v>58</v>
      </c>
      <c r="B59" t="s">
        <v>57</v>
      </c>
    </row>
    <row r="60" spans="1:2" x14ac:dyDescent="0.35">
      <c r="A60" s="23">
        <f t="shared" si="0"/>
        <v>59</v>
      </c>
      <c r="B60" t="s">
        <v>58</v>
      </c>
    </row>
    <row r="61" spans="1:2" x14ac:dyDescent="0.35">
      <c r="A61" s="23">
        <f t="shared" si="0"/>
        <v>60</v>
      </c>
      <c r="B61" t="s">
        <v>59</v>
      </c>
    </row>
    <row r="62" spans="1:2" x14ac:dyDescent="0.35">
      <c r="A62" s="23">
        <f t="shared" si="0"/>
        <v>61</v>
      </c>
      <c r="B62" t="s">
        <v>60</v>
      </c>
    </row>
    <row r="63" spans="1:2" x14ac:dyDescent="0.35">
      <c r="A63" s="23">
        <f t="shared" si="0"/>
        <v>62</v>
      </c>
      <c r="B63" t="s">
        <v>61</v>
      </c>
    </row>
    <row r="64" spans="1:2" x14ac:dyDescent="0.35">
      <c r="A64" s="23">
        <f t="shared" si="0"/>
        <v>63</v>
      </c>
      <c r="B64" t="s">
        <v>62</v>
      </c>
    </row>
    <row r="65" spans="1:2" x14ac:dyDescent="0.35">
      <c r="A65" s="23">
        <f t="shared" si="0"/>
        <v>64</v>
      </c>
      <c r="B65" t="s">
        <v>63</v>
      </c>
    </row>
    <row r="66" spans="1:2" x14ac:dyDescent="0.35">
      <c r="A66" s="23">
        <f t="shared" si="0"/>
        <v>65</v>
      </c>
      <c r="B66" t="s">
        <v>64</v>
      </c>
    </row>
    <row r="67" spans="1:2" x14ac:dyDescent="0.35">
      <c r="A67" s="23">
        <f t="shared" ref="A67:A130" si="1">A66+1</f>
        <v>66</v>
      </c>
      <c r="B67" t="s">
        <v>65</v>
      </c>
    </row>
    <row r="68" spans="1:2" x14ac:dyDescent="0.35">
      <c r="A68" s="23">
        <f t="shared" si="1"/>
        <v>67</v>
      </c>
      <c r="B68" t="s">
        <v>66</v>
      </c>
    </row>
    <row r="69" spans="1:2" x14ac:dyDescent="0.35">
      <c r="A69" s="23">
        <f t="shared" si="1"/>
        <v>68</v>
      </c>
      <c r="B69" t="s">
        <v>67</v>
      </c>
    </row>
    <row r="70" spans="1:2" x14ac:dyDescent="0.35">
      <c r="A70" s="23">
        <f t="shared" si="1"/>
        <v>69</v>
      </c>
      <c r="B70" t="s">
        <v>68</v>
      </c>
    </row>
    <row r="71" spans="1:2" x14ac:dyDescent="0.35">
      <c r="A71" s="23">
        <f t="shared" si="1"/>
        <v>70</v>
      </c>
      <c r="B71" t="s">
        <v>69</v>
      </c>
    </row>
    <row r="72" spans="1:2" x14ac:dyDescent="0.35">
      <c r="A72" s="23">
        <f t="shared" si="1"/>
        <v>71</v>
      </c>
      <c r="B72" t="s">
        <v>70</v>
      </c>
    </row>
    <row r="73" spans="1:2" x14ac:dyDescent="0.35">
      <c r="A73" s="23">
        <f t="shared" si="1"/>
        <v>72</v>
      </c>
      <c r="B73" t="s">
        <v>71</v>
      </c>
    </row>
    <row r="74" spans="1:2" x14ac:dyDescent="0.35">
      <c r="A74" s="23">
        <f t="shared" si="1"/>
        <v>73</v>
      </c>
      <c r="B74" t="s">
        <v>72</v>
      </c>
    </row>
    <row r="75" spans="1:2" x14ac:dyDescent="0.35">
      <c r="A75" s="23">
        <f t="shared" si="1"/>
        <v>74</v>
      </c>
      <c r="B75" t="s">
        <v>73</v>
      </c>
    </row>
    <row r="76" spans="1:2" x14ac:dyDescent="0.35">
      <c r="A76" s="23">
        <f t="shared" si="1"/>
        <v>75</v>
      </c>
      <c r="B76" t="s">
        <v>74</v>
      </c>
    </row>
    <row r="77" spans="1:2" x14ac:dyDescent="0.35">
      <c r="A77" s="23">
        <f t="shared" si="1"/>
        <v>76</v>
      </c>
      <c r="B77" t="s">
        <v>75</v>
      </c>
    </row>
    <row r="78" spans="1:2" x14ac:dyDescent="0.35">
      <c r="A78" s="23">
        <f t="shared" si="1"/>
        <v>77</v>
      </c>
      <c r="B78" t="s">
        <v>76</v>
      </c>
    </row>
    <row r="79" spans="1:2" x14ac:dyDescent="0.35">
      <c r="A79" s="23">
        <f t="shared" si="1"/>
        <v>78</v>
      </c>
      <c r="B79" t="s">
        <v>77</v>
      </c>
    </row>
    <row r="80" spans="1:2" x14ac:dyDescent="0.35">
      <c r="A80" s="23">
        <f t="shared" si="1"/>
        <v>79</v>
      </c>
      <c r="B80" t="s">
        <v>78</v>
      </c>
    </row>
    <row r="81" spans="1:2" x14ac:dyDescent="0.35">
      <c r="A81" s="23">
        <f t="shared" si="1"/>
        <v>80</v>
      </c>
      <c r="B81" t="s">
        <v>79</v>
      </c>
    </row>
    <row r="82" spans="1:2" x14ac:dyDescent="0.35">
      <c r="A82" s="23">
        <f t="shared" si="1"/>
        <v>81</v>
      </c>
      <c r="B82" t="s">
        <v>80</v>
      </c>
    </row>
    <row r="83" spans="1:2" x14ac:dyDescent="0.35">
      <c r="A83" s="23">
        <f t="shared" si="1"/>
        <v>82</v>
      </c>
      <c r="B83" t="s">
        <v>81</v>
      </c>
    </row>
    <row r="84" spans="1:2" x14ac:dyDescent="0.35">
      <c r="A84" s="23">
        <f t="shared" si="1"/>
        <v>83</v>
      </c>
      <c r="B84" t="s">
        <v>82</v>
      </c>
    </row>
    <row r="85" spans="1:2" x14ac:dyDescent="0.35">
      <c r="A85" s="23">
        <f t="shared" si="1"/>
        <v>84</v>
      </c>
      <c r="B85" t="s">
        <v>83</v>
      </c>
    </row>
    <row r="86" spans="1:2" x14ac:dyDescent="0.35">
      <c r="A86" s="23">
        <f t="shared" si="1"/>
        <v>85</v>
      </c>
      <c r="B86" t="s">
        <v>84</v>
      </c>
    </row>
    <row r="87" spans="1:2" x14ac:dyDescent="0.35">
      <c r="A87" s="23">
        <f t="shared" si="1"/>
        <v>86</v>
      </c>
      <c r="B87" t="s">
        <v>85</v>
      </c>
    </row>
    <row r="88" spans="1:2" x14ac:dyDescent="0.35">
      <c r="A88" s="23">
        <f t="shared" si="1"/>
        <v>87</v>
      </c>
      <c r="B88" t="s">
        <v>86</v>
      </c>
    </row>
    <row r="89" spans="1:2" x14ac:dyDescent="0.35">
      <c r="A89" s="23">
        <f t="shared" si="1"/>
        <v>88</v>
      </c>
      <c r="B89" t="s">
        <v>87</v>
      </c>
    </row>
    <row r="90" spans="1:2" x14ac:dyDescent="0.35">
      <c r="A90" s="23">
        <f t="shared" si="1"/>
        <v>89</v>
      </c>
      <c r="B90" t="s">
        <v>88</v>
      </c>
    </row>
    <row r="91" spans="1:2" x14ac:dyDescent="0.35">
      <c r="A91" s="23">
        <f t="shared" si="1"/>
        <v>90</v>
      </c>
      <c r="B91" t="s">
        <v>89</v>
      </c>
    </row>
    <row r="92" spans="1:2" x14ac:dyDescent="0.35">
      <c r="A92" s="23">
        <f t="shared" si="1"/>
        <v>91</v>
      </c>
      <c r="B92" t="s">
        <v>90</v>
      </c>
    </row>
    <row r="93" spans="1:2" x14ac:dyDescent="0.35">
      <c r="A93" s="23">
        <f t="shared" si="1"/>
        <v>92</v>
      </c>
      <c r="B93" t="s">
        <v>91</v>
      </c>
    </row>
    <row r="94" spans="1:2" x14ac:dyDescent="0.35">
      <c r="A94" s="23">
        <f t="shared" si="1"/>
        <v>93</v>
      </c>
      <c r="B94" t="s">
        <v>92</v>
      </c>
    </row>
    <row r="95" spans="1:2" x14ac:dyDescent="0.35">
      <c r="A95" s="23">
        <f t="shared" si="1"/>
        <v>94</v>
      </c>
      <c r="B95" t="s">
        <v>93</v>
      </c>
    </row>
    <row r="96" spans="1:2" x14ac:dyDescent="0.35">
      <c r="A96" s="23">
        <f t="shared" si="1"/>
        <v>95</v>
      </c>
      <c r="B96" t="s">
        <v>94</v>
      </c>
    </row>
    <row r="97" spans="1:2" x14ac:dyDescent="0.35">
      <c r="A97" s="23">
        <f t="shared" si="1"/>
        <v>96</v>
      </c>
      <c r="B97" t="s">
        <v>95</v>
      </c>
    </row>
    <row r="98" spans="1:2" x14ac:dyDescent="0.35">
      <c r="A98" s="23">
        <f t="shared" si="1"/>
        <v>97</v>
      </c>
      <c r="B98" t="s">
        <v>96</v>
      </c>
    </row>
    <row r="99" spans="1:2" x14ac:dyDescent="0.35">
      <c r="A99" s="23">
        <f t="shared" si="1"/>
        <v>98</v>
      </c>
      <c r="B99" t="s">
        <v>97</v>
      </c>
    </row>
    <row r="100" spans="1:2" x14ac:dyDescent="0.35">
      <c r="A100" s="23">
        <f t="shared" si="1"/>
        <v>99</v>
      </c>
      <c r="B100" t="s">
        <v>98</v>
      </c>
    </row>
    <row r="101" spans="1:2" x14ac:dyDescent="0.35">
      <c r="A101" s="23">
        <f t="shared" si="1"/>
        <v>100</v>
      </c>
      <c r="B101" t="s">
        <v>99</v>
      </c>
    </row>
    <row r="102" spans="1:2" x14ac:dyDescent="0.35">
      <c r="A102" s="23">
        <f t="shared" si="1"/>
        <v>101</v>
      </c>
      <c r="B102" t="s">
        <v>100</v>
      </c>
    </row>
    <row r="103" spans="1:2" x14ac:dyDescent="0.35">
      <c r="A103" s="23">
        <f t="shared" si="1"/>
        <v>102</v>
      </c>
      <c r="B103" t="s">
        <v>101</v>
      </c>
    </row>
    <row r="104" spans="1:2" x14ac:dyDescent="0.35">
      <c r="A104" s="23">
        <f t="shared" si="1"/>
        <v>103</v>
      </c>
      <c r="B104" t="s">
        <v>102</v>
      </c>
    </row>
    <row r="105" spans="1:2" x14ac:dyDescent="0.35">
      <c r="A105" s="23">
        <f t="shared" si="1"/>
        <v>104</v>
      </c>
      <c r="B105" t="s">
        <v>103</v>
      </c>
    </row>
    <row r="106" spans="1:2" x14ac:dyDescent="0.35">
      <c r="A106" s="23">
        <f t="shared" si="1"/>
        <v>105</v>
      </c>
      <c r="B106" t="s">
        <v>104</v>
      </c>
    </row>
    <row r="107" spans="1:2" x14ac:dyDescent="0.35">
      <c r="A107" s="23">
        <f t="shared" si="1"/>
        <v>106</v>
      </c>
      <c r="B107" t="s">
        <v>105</v>
      </c>
    </row>
    <row r="108" spans="1:2" x14ac:dyDescent="0.35">
      <c r="A108" s="23">
        <f t="shared" si="1"/>
        <v>107</v>
      </c>
      <c r="B108" t="s">
        <v>106</v>
      </c>
    </row>
    <row r="109" spans="1:2" x14ac:dyDescent="0.35">
      <c r="A109" s="23">
        <f t="shared" si="1"/>
        <v>108</v>
      </c>
      <c r="B109" t="s">
        <v>107</v>
      </c>
    </row>
    <row r="110" spans="1:2" x14ac:dyDescent="0.35">
      <c r="A110" s="23">
        <f t="shared" si="1"/>
        <v>109</v>
      </c>
      <c r="B110" t="s">
        <v>108</v>
      </c>
    </row>
    <row r="111" spans="1:2" x14ac:dyDescent="0.35">
      <c r="A111" s="23">
        <f t="shared" si="1"/>
        <v>110</v>
      </c>
      <c r="B111" t="s">
        <v>109</v>
      </c>
    </row>
    <row r="112" spans="1:2" x14ac:dyDescent="0.35">
      <c r="A112" s="23">
        <f t="shared" si="1"/>
        <v>111</v>
      </c>
      <c r="B112" t="s">
        <v>110</v>
      </c>
    </row>
    <row r="113" spans="1:2" x14ac:dyDescent="0.35">
      <c r="A113" s="23">
        <f t="shared" si="1"/>
        <v>112</v>
      </c>
      <c r="B113" t="s">
        <v>111</v>
      </c>
    </row>
    <row r="114" spans="1:2" x14ac:dyDescent="0.35">
      <c r="A114" s="23">
        <f t="shared" si="1"/>
        <v>113</v>
      </c>
      <c r="B114" t="s">
        <v>112</v>
      </c>
    </row>
    <row r="115" spans="1:2" x14ac:dyDescent="0.35">
      <c r="A115" s="23">
        <f t="shared" si="1"/>
        <v>114</v>
      </c>
      <c r="B115" t="s">
        <v>113</v>
      </c>
    </row>
    <row r="116" spans="1:2" x14ac:dyDescent="0.35">
      <c r="A116" s="23">
        <f t="shared" si="1"/>
        <v>115</v>
      </c>
      <c r="B116" t="s">
        <v>114</v>
      </c>
    </row>
    <row r="117" spans="1:2" x14ac:dyDescent="0.35">
      <c r="A117" s="23">
        <f t="shared" si="1"/>
        <v>116</v>
      </c>
      <c r="B117" t="s">
        <v>115</v>
      </c>
    </row>
    <row r="118" spans="1:2" x14ac:dyDescent="0.35">
      <c r="A118" s="23">
        <f t="shared" si="1"/>
        <v>117</v>
      </c>
      <c r="B118" t="s">
        <v>116</v>
      </c>
    </row>
    <row r="119" spans="1:2" x14ac:dyDescent="0.35">
      <c r="A119" s="23">
        <f t="shared" si="1"/>
        <v>118</v>
      </c>
      <c r="B119" t="s">
        <v>117</v>
      </c>
    </row>
    <row r="120" spans="1:2" x14ac:dyDescent="0.35">
      <c r="A120" s="23">
        <f t="shared" si="1"/>
        <v>119</v>
      </c>
      <c r="B120" t="s">
        <v>118</v>
      </c>
    </row>
    <row r="121" spans="1:2" x14ac:dyDescent="0.35">
      <c r="A121" s="23">
        <f t="shared" si="1"/>
        <v>120</v>
      </c>
      <c r="B121" t="s">
        <v>119</v>
      </c>
    </row>
    <row r="122" spans="1:2" x14ac:dyDescent="0.35">
      <c r="A122" s="23">
        <f t="shared" si="1"/>
        <v>121</v>
      </c>
      <c r="B122" t="s">
        <v>120</v>
      </c>
    </row>
    <row r="123" spans="1:2" x14ac:dyDescent="0.35">
      <c r="A123" s="23">
        <f t="shared" si="1"/>
        <v>122</v>
      </c>
      <c r="B123" t="s">
        <v>121</v>
      </c>
    </row>
    <row r="124" spans="1:2" x14ac:dyDescent="0.35">
      <c r="A124" s="23">
        <f t="shared" si="1"/>
        <v>123</v>
      </c>
      <c r="B124" t="s">
        <v>122</v>
      </c>
    </row>
    <row r="125" spans="1:2" x14ac:dyDescent="0.35">
      <c r="A125" s="23">
        <f t="shared" si="1"/>
        <v>124</v>
      </c>
      <c r="B125" t="s">
        <v>123</v>
      </c>
    </row>
    <row r="126" spans="1:2" x14ac:dyDescent="0.35">
      <c r="A126" s="23">
        <f t="shared" si="1"/>
        <v>125</v>
      </c>
      <c r="B126" t="s">
        <v>124</v>
      </c>
    </row>
    <row r="127" spans="1:2" x14ac:dyDescent="0.35">
      <c r="A127" s="23">
        <f t="shared" si="1"/>
        <v>126</v>
      </c>
      <c r="B127" t="s">
        <v>125</v>
      </c>
    </row>
    <row r="128" spans="1:2" x14ac:dyDescent="0.35">
      <c r="A128" s="23">
        <f t="shared" si="1"/>
        <v>127</v>
      </c>
      <c r="B128" t="s">
        <v>126</v>
      </c>
    </row>
    <row r="129" spans="1:2" x14ac:dyDescent="0.35">
      <c r="A129" s="23">
        <f t="shared" si="1"/>
        <v>128</v>
      </c>
      <c r="B129" t="s">
        <v>127</v>
      </c>
    </row>
    <row r="130" spans="1:2" x14ac:dyDescent="0.35">
      <c r="A130" s="23">
        <f t="shared" si="1"/>
        <v>129</v>
      </c>
      <c r="B130" t="s">
        <v>128</v>
      </c>
    </row>
    <row r="131" spans="1:2" x14ac:dyDescent="0.35">
      <c r="A131" s="23">
        <f t="shared" ref="A131:A194" si="2">A130+1</f>
        <v>130</v>
      </c>
      <c r="B131" t="s">
        <v>129</v>
      </c>
    </row>
    <row r="132" spans="1:2" x14ac:dyDescent="0.35">
      <c r="A132" s="23">
        <f t="shared" si="2"/>
        <v>131</v>
      </c>
      <c r="B132" t="s">
        <v>130</v>
      </c>
    </row>
    <row r="133" spans="1:2" x14ac:dyDescent="0.35">
      <c r="A133" s="23">
        <f t="shared" si="2"/>
        <v>132</v>
      </c>
      <c r="B133" t="s">
        <v>131</v>
      </c>
    </row>
    <row r="134" spans="1:2" x14ac:dyDescent="0.35">
      <c r="A134" s="23">
        <f t="shared" si="2"/>
        <v>133</v>
      </c>
      <c r="B134" t="s">
        <v>132</v>
      </c>
    </row>
    <row r="135" spans="1:2" x14ac:dyDescent="0.35">
      <c r="A135" s="23">
        <f t="shared" si="2"/>
        <v>134</v>
      </c>
      <c r="B135" t="s">
        <v>133</v>
      </c>
    </row>
    <row r="136" spans="1:2" x14ac:dyDescent="0.35">
      <c r="A136" s="23">
        <f t="shared" si="2"/>
        <v>135</v>
      </c>
      <c r="B136" t="s">
        <v>134</v>
      </c>
    </row>
    <row r="137" spans="1:2" x14ac:dyDescent="0.35">
      <c r="A137" s="23">
        <f t="shared" si="2"/>
        <v>136</v>
      </c>
      <c r="B137" t="s">
        <v>135</v>
      </c>
    </row>
    <row r="138" spans="1:2" x14ac:dyDescent="0.35">
      <c r="A138" s="23">
        <f t="shared" si="2"/>
        <v>137</v>
      </c>
      <c r="B138" t="s">
        <v>136</v>
      </c>
    </row>
    <row r="139" spans="1:2" x14ac:dyDescent="0.35">
      <c r="A139" s="23">
        <f t="shared" si="2"/>
        <v>138</v>
      </c>
      <c r="B139" t="s">
        <v>137</v>
      </c>
    </row>
    <row r="140" spans="1:2" x14ac:dyDescent="0.35">
      <c r="A140" s="23">
        <f t="shared" si="2"/>
        <v>139</v>
      </c>
      <c r="B140" t="s">
        <v>138</v>
      </c>
    </row>
    <row r="141" spans="1:2" x14ac:dyDescent="0.35">
      <c r="A141" s="23">
        <f t="shared" si="2"/>
        <v>140</v>
      </c>
      <c r="B141" t="s">
        <v>139</v>
      </c>
    </row>
    <row r="142" spans="1:2" x14ac:dyDescent="0.35">
      <c r="A142" s="23">
        <f t="shared" si="2"/>
        <v>141</v>
      </c>
      <c r="B142" t="s">
        <v>140</v>
      </c>
    </row>
    <row r="143" spans="1:2" x14ac:dyDescent="0.35">
      <c r="A143" s="23">
        <f t="shared" si="2"/>
        <v>142</v>
      </c>
      <c r="B143" t="s">
        <v>141</v>
      </c>
    </row>
    <row r="144" spans="1:2" x14ac:dyDescent="0.35">
      <c r="A144" s="23">
        <f t="shared" si="2"/>
        <v>143</v>
      </c>
      <c r="B144" t="s">
        <v>142</v>
      </c>
    </row>
    <row r="145" spans="1:2" x14ac:dyDescent="0.35">
      <c r="A145" s="23">
        <f t="shared" si="2"/>
        <v>144</v>
      </c>
      <c r="B145" t="s">
        <v>143</v>
      </c>
    </row>
    <row r="146" spans="1:2" x14ac:dyDescent="0.35">
      <c r="A146" s="23">
        <f t="shared" si="2"/>
        <v>145</v>
      </c>
      <c r="B146" t="s">
        <v>144</v>
      </c>
    </row>
    <row r="147" spans="1:2" x14ac:dyDescent="0.35">
      <c r="A147" s="23">
        <f t="shared" si="2"/>
        <v>146</v>
      </c>
      <c r="B147" t="s">
        <v>145</v>
      </c>
    </row>
    <row r="148" spans="1:2" x14ac:dyDescent="0.35">
      <c r="A148" s="23">
        <f t="shared" si="2"/>
        <v>147</v>
      </c>
      <c r="B148" t="s">
        <v>146</v>
      </c>
    </row>
    <row r="149" spans="1:2" x14ac:dyDescent="0.35">
      <c r="A149" s="23">
        <f t="shared" si="2"/>
        <v>148</v>
      </c>
      <c r="B149" t="s">
        <v>147</v>
      </c>
    </row>
    <row r="150" spans="1:2" x14ac:dyDescent="0.35">
      <c r="A150" s="23">
        <f t="shared" si="2"/>
        <v>149</v>
      </c>
      <c r="B150" t="s">
        <v>148</v>
      </c>
    </row>
    <row r="151" spans="1:2" x14ac:dyDescent="0.35">
      <c r="A151" s="23">
        <f t="shared" si="2"/>
        <v>150</v>
      </c>
      <c r="B151" t="s">
        <v>149</v>
      </c>
    </row>
    <row r="152" spans="1:2" x14ac:dyDescent="0.35">
      <c r="A152" s="23">
        <f t="shared" si="2"/>
        <v>151</v>
      </c>
      <c r="B152" t="s">
        <v>150</v>
      </c>
    </row>
    <row r="153" spans="1:2" x14ac:dyDescent="0.35">
      <c r="A153" s="23">
        <f t="shared" si="2"/>
        <v>152</v>
      </c>
      <c r="B153" t="s">
        <v>151</v>
      </c>
    </row>
    <row r="154" spans="1:2" x14ac:dyDescent="0.35">
      <c r="A154" s="23">
        <f t="shared" si="2"/>
        <v>153</v>
      </c>
      <c r="B154" t="s">
        <v>152</v>
      </c>
    </row>
    <row r="155" spans="1:2" x14ac:dyDescent="0.35">
      <c r="A155" s="23">
        <f t="shared" si="2"/>
        <v>154</v>
      </c>
      <c r="B155" t="s">
        <v>153</v>
      </c>
    </row>
    <row r="156" spans="1:2" x14ac:dyDescent="0.35">
      <c r="A156" s="23">
        <f t="shared" si="2"/>
        <v>155</v>
      </c>
      <c r="B156" t="s">
        <v>154</v>
      </c>
    </row>
    <row r="157" spans="1:2" x14ac:dyDescent="0.35">
      <c r="A157" s="23">
        <f t="shared" si="2"/>
        <v>156</v>
      </c>
      <c r="B157" t="s">
        <v>155</v>
      </c>
    </row>
    <row r="158" spans="1:2" x14ac:dyDescent="0.35">
      <c r="A158" s="23">
        <f t="shared" si="2"/>
        <v>157</v>
      </c>
      <c r="B158" t="s">
        <v>156</v>
      </c>
    </row>
    <row r="159" spans="1:2" x14ac:dyDescent="0.35">
      <c r="A159" s="23">
        <f t="shared" si="2"/>
        <v>158</v>
      </c>
      <c r="B159" t="s">
        <v>157</v>
      </c>
    </row>
    <row r="160" spans="1:2" x14ac:dyDescent="0.35">
      <c r="A160" s="23">
        <f t="shared" si="2"/>
        <v>159</v>
      </c>
      <c r="B160" t="s">
        <v>158</v>
      </c>
    </row>
    <row r="161" spans="1:2" x14ac:dyDescent="0.35">
      <c r="A161" s="23">
        <f t="shared" si="2"/>
        <v>160</v>
      </c>
      <c r="B161" t="s">
        <v>159</v>
      </c>
    </row>
    <row r="162" spans="1:2" x14ac:dyDescent="0.35">
      <c r="A162" s="23">
        <f t="shared" si="2"/>
        <v>161</v>
      </c>
      <c r="B162" t="s">
        <v>160</v>
      </c>
    </row>
    <row r="163" spans="1:2" x14ac:dyDescent="0.35">
      <c r="A163" s="23">
        <f t="shared" si="2"/>
        <v>162</v>
      </c>
      <c r="B163" t="s">
        <v>161</v>
      </c>
    </row>
    <row r="164" spans="1:2" x14ac:dyDescent="0.35">
      <c r="A164" s="23">
        <f t="shared" si="2"/>
        <v>163</v>
      </c>
      <c r="B164" t="s">
        <v>162</v>
      </c>
    </row>
    <row r="165" spans="1:2" x14ac:dyDescent="0.35">
      <c r="A165" s="23">
        <f t="shared" si="2"/>
        <v>164</v>
      </c>
      <c r="B165" t="s">
        <v>163</v>
      </c>
    </row>
    <row r="166" spans="1:2" x14ac:dyDescent="0.35">
      <c r="A166" s="23">
        <f t="shared" si="2"/>
        <v>165</v>
      </c>
      <c r="B166" t="s">
        <v>164</v>
      </c>
    </row>
    <row r="167" spans="1:2" x14ac:dyDescent="0.35">
      <c r="A167" s="23">
        <f t="shared" si="2"/>
        <v>166</v>
      </c>
      <c r="B167" t="s">
        <v>165</v>
      </c>
    </row>
    <row r="168" spans="1:2" x14ac:dyDescent="0.35">
      <c r="A168" s="23">
        <f t="shared" si="2"/>
        <v>167</v>
      </c>
      <c r="B168" t="s">
        <v>166</v>
      </c>
    </row>
    <row r="169" spans="1:2" x14ac:dyDescent="0.35">
      <c r="A169" s="23">
        <f t="shared" si="2"/>
        <v>168</v>
      </c>
      <c r="B169" t="s">
        <v>167</v>
      </c>
    </row>
    <row r="170" spans="1:2" x14ac:dyDescent="0.35">
      <c r="A170" s="23">
        <f t="shared" si="2"/>
        <v>169</v>
      </c>
      <c r="B170" t="s">
        <v>168</v>
      </c>
    </row>
    <row r="171" spans="1:2" x14ac:dyDescent="0.35">
      <c r="A171" s="23">
        <f t="shared" si="2"/>
        <v>170</v>
      </c>
      <c r="B171" t="s">
        <v>169</v>
      </c>
    </row>
    <row r="172" spans="1:2" x14ac:dyDescent="0.35">
      <c r="A172" s="23">
        <f t="shared" si="2"/>
        <v>171</v>
      </c>
      <c r="B172" t="s">
        <v>170</v>
      </c>
    </row>
    <row r="173" spans="1:2" x14ac:dyDescent="0.35">
      <c r="A173" s="23">
        <f t="shared" si="2"/>
        <v>172</v>
      </c>
      <c r="B173" t="s">
        <v>171</v>
      </c>
    </row>
    <row r="174" spans="1:2" x14ac:dyDescent="0.35">
      <c r="A174" s="23">
        <f t="shared" si="2"/>
        <v>173</v>
      </c>
      <c r="B174" t="s">
        <v>172</v>
      </c>
    </row>
    <row r="175" spans="1:2" x14ac:dyDescent="0.35">
      <c r="A175" s="23">
        <f t="shared" si="2"/>
        <v>174</v>
      </c>
      <c r="B175" t="s">
        <v>173</v>
      </c>
    </row>
    <row r="176" spans="1:2" x14ac:dyDescent="0.35">
      <c r="A176" s="23">
        <f t="shared" si="2"/>
        <v>175</v>
      </c>
      <c r="B176" t="s">
        <v>174</v>
      </c>
    </row>
    <row r="177" spans="1:2" x14ac:dyDescent="0.35">
      <c r="A177" s="23">
        <f t="shared" si="2"/>
        <v>176</v>
      </c>
      <c r="B177" t="s">
        <v>175</v>
      </c>
    </row>
    <row r="178" spans="1:2" x14ac:dyDescent="0.35">
      <c r="A178" s="23">
        <f t="shared" si="2"/>
        <v>177</v>
      </c>
      <c r="B178" t="s">
        <v>176</v>
      </c>
    </row>
    <row r="179" spans="1:2" x14ac:dyDescent="0.35">
      <c r="A179" s="23">
        <f t="shared" si="2"/>
        <v>178</v>
      </c>
      <c r="B179" t="s">
        <v>177</v>
      </c>
    </row>
    <row r="180" spans="1:2" x14ac:dyDescent="0.35">
      <c r="A180" s="23">
        <f t="shared" si="2"/>
        <v>179</v>
      </c>
      <c r="B180" t="s">
        <v>178</v>
      </c>
    </row>
    <row r="181" spans="1:2" x14ac:dyDescent="0.35">
      <c r="A181" s="23">
        <f t="shared" si="2"/>
        <v>180</v>
      </c>
      <c r="B181" t="s">
        <v>179</v>
      </c>
    </row>
    <row r="182" spans="1:2" x14ac:dyDescent="0.35">
      <c r="A182" s="23">
        <f t="shared" si="2"/>
        <v>181</v>
      </c>
      <c r="B182" t="s">
        <v>180</v>
      </c>
    </row>
    <row r="183" spans="1:2" x14ac:dyDescent="0.35">
      <c r="A183" s="23">
        <f t="shared" si="2"/>
        <v>182</v>
      </c>
      <c r="B183" t="s">
        <v>181</v>
      </c>
    </row>
    <row r="184" spans="1:2" x14ac:dyDescent="0.35">
      <c r="A184" s="23">
        <f t="shared" si="2"/>
        <v>183</v>
      </c>
      <c r="B184" t="s">
        <v>182</v>
      </c>
    </row>
    <row r="185" spans="1:2" x14ac:dyDescent="0.35">
      <c r="A185" s="23">
        <f t="shared" si="2"/>
        <v>184</v>
      </c>
      <c r="B185" t="s">
        <v>183</v>
      </c>
    </row>
    <row r="186" spans="1:2" x14ac:dyDescent="0.35">
      <c r="A186" s="23">
        <f t="shared" si="2"/>
        <v>185</v>
      </c>
      <c r="B186" t="s">
        <v>184</v>
      </c>
    </row>
    <row r="187" spans="1:2" x14ac:dyDescent="0.35">
      <c r="A187" s="23">
        <f t="shared" si="2"/>
        <v>186</v>
      </c>
      <c r="B187" t="s">
        <v>185</v>
      </c>
    </row>
    <row r="188" spans="1:2" x14ac:dyDescent="0.35">
      <c r="A188" s="23">
        <f t="shared" si="2"/>
        <v>187</v>
      </c>
      <c r="B188" t="s">
        <v>186</v>
      </c>
    </row>
    <row r="189" spans="1:2" x14ac:dyDescent="0.35">
      <c r="A189" s="23">
        <f t="shared" si="2"/>
        <v>188</v>
      </c>
      <c r="B189" t="s">
        <v>187</v>
      </c>
    </row>
    <row r="190" spans="1:2" x14ac:dyDescent="0.35">
      <c r="A190" s="23">
        <f t="shared" si="2"/>
        <v>189</v>
      </c>
      <c r="B190" t="s">
        <v>188</v>
      </c>
    </row>
    <row r="191" spans="1:2" x14ac:dyDescent="0.35">
      <c r="A191" s="23">
        <f t="shared" si="2"/>
        <v>190</v>
      </c>
      <c r="B191" t="s">
        <v>189</v>
      </c>
    </row>
    <row r="192" spans="1:2" x14ac:dyDescent="0.35">
      <c r="A192" s="23">
        <f t="shared" si="2"/>
        <v>191</v>
      </c>
      <c r="B192" t="s">
        <v>190</v>
      </c>
    </row>
    <row r="193" spans="1:2" x14ac:dyDescent="0.35">
      <c r="A193" s="23">
        <f t="shared" si="2"/>
        <v>192</v>
      </c>
      <c r="B193" t="s">
        <v>191</v>
      </c>
    </row>
    <row r="194" spans="1:2" x14ac:dyDescent="0.35">
      <c r="A194" s="23">
        <f t="shared" si="2"/>
        <v>193</v>
      </c>
      <c r="B194" t="s">
        <v>192</v>
      </c>
    </row>
    <row r="195" spans="1:2" x14ac:dyDescent="0.35">
      <c r="A195" s="23">
        <f t="shared" ref="A195:A258" si="3">A194+1</f>
        <v>194</v>
      </c>
      <c r="B195" t="s">
        <v>193</v>
      </c>
    </row>
    <row r="196" spans="1:2" x14ac:dyDescent="0.35">
      <c r="A196" s="23">
        <f t="shared" si="3"/>
        <v>195</v>
      </c>
      <c r="B196" t="s">
        <v>194</v>
      </c>
    </row>
    <row r="197" spans="1:2" x14ac:dyDescent="0.35">
      <c r="A197" s="23">
        <f t="shared" si="3"/>
        <v>196</v>
      </c>
      <c r="B197" t="s">
        <v>195</v>
      </c>
    </row>
    <row r="198" spans="1:2" x14ac:dyDescent="0.35">
      <c r="A198" s="23">
        <f t="shared" si="3"/>
        <v>197</v>
      </c>
      <c r="B198" t="s">
        <v>196</v>
      </c>
    </row>
    <row r="199" spans="1:2" x14ac:dyDescent="0.35">
      <c r="A199" s="23">
        <f t="shared" si="3"/>
        <v>198</v>
      </c>
      <c r="B199" t="s">
        <v>197</v>
      </c>
    </row>
    <row r="200" spans="1:2" x14ac:dyDescent="0.35">
      <c r="A200" s="23">
        <f t="shared" si="3"/>
        <v>199</v>
      </c>
      <c r="B200" t="s">
        <v>198</v>
      </c>
    </row>
    <row r="201" spans="1:2" x14ac:dyDescent="0.35">
      <c r="A201" s="23">
        <f t="shared" si="3"/>
        <v>200</v>
      </c>
      <c r="B201" t="s">
        <v>199</v>
      </c>
    </row>
    <row r="202" spans="1:2" x14ac:dyDescent="0.35">
      <c r="A202" s="23">
        <f t="shared" si="3"/>
        <v>201</v>
      </c>
      <c r="B202" t="s">
        <v>200</v>
      </c>
    </row>
    <row r="203" spans="1:2" x14ac:dyDescent="0.35">
      <c r="A203" s="23">
        <f t="shared" si="3"/>
        <v>202</v>
      </c>
      <c r="B203" t="s">
        <v>201</v>
      </c>
    </row>
    <row r="204" spans="1:2" x14ac:dyDescent="0.35">
      <c r="A204" s="23">
        <f t="shared" si="3"/>
        <v>203</v>
      </c>
      <c r="B204" t="s">
        <v>202</v>
      </c>
    </row>
    <row r="205" spans="1:2" x14ac:dyDescent="0.35">
      <c r="A205" s="23">
        <f t="shared" si="3"/>
        <v>204</v>
      </c>
      <c r="B205" t="s">
        <v>203</v>
      </c>
    </row>
    <row r="206" spans="1:2" x14ac:dyDescent="0.35">
      <c r="A206" s="23">
        <f t="shared" si="3"/>
        <v>205</v>
      </c>
      <c r="B206" t="s">
        <v>204</v>
      </c>
    </row>
    <row r="207" spans="1:2" x14ac:dyDescent="0.35">
      <c r="A207" s="23">
        <f t="shared" si="3"/>
        <v>206</v>
      </c>
      <c r="B207" t="s">
        <v>205</v>
      </c>
    </row>
    <row r="208" spans="1:2" x14ac:dyDescent="0.35">
      <c r="A208" s="23">
        <f t="shared" si="3"/>
        <v>207</v>
      </c>
      <c r="B208" t="s">
        <v>206</v>
      </c>
    </row>
    <row r="209" spans="1:2" x14ac:dyDescent="0.35">
      <c r="A209" s="23">
        <f t="shared" si="3"/>
        <v>208</v>
      </c>
      <c r="B209" t="s">
        <v>207</v>
      </c>
    </row>
    <row r="210" spans="1:2" x14ac:dyDescent="0.35">
      <c r="A210" s="23">
        <f t="shared" si="3"/>
        <v>209</v>
      </c>
      <c r="B210" t="s">
        <v>208</v>
      </c>
    </row>
    <row r="211" spans="1:2" x14ac:dyDescent="0.35">
      <c r="A211" s="23">
        <f t="shared" si="3"/>
        <v>210</v>
      </c>
      <c r="B211" t="s">
        <v>209</v>
      </c>
    </row>
    <row r="212" spans="1:2" x14ac:dyDescent="0.35">
      <c r="A212" s="23">
        <f t="shared" si="3"/>
        <v>211</v>
      </c>
      <c r="B212" t="s">
        <v>210</v>
      </c>
    </row>
    <row r="213" spans="1:2" x14ac:dyDescent="0.35">
      <c r="A213" s="23">
        <f t="shared" si="3"/>
        <v>212</v>
      </c>
      <c r="B213" t="s">
        <v>211</v>
      </c>
    </row>
    <row r="214" spans="1:2" x14ac:dyDescent="0.35">
      <c r="A214" s="23">
        <f t="shared" si="3"/>
        <v>213</v>
      </c>
      <c r="B214" t="s">
        <v>212</v>
      </c>
    </row>
    <row r="215" spans="1:2" x14ac:dyDescent="0.35">
      <c r="A215" s="23">
        <f t="shared" si="3"/>
        <v>214</v>
      </c>
      <c r="B215" t="s">
        <v>213</v>
      </c>
    </row>
    <row r="216" spans="1:2" x14ac:dyDescent="0.35">
      <c r="A216" s="23">
        <f t="shared" si="3"/>
        <v>215</v>
      </c>
      <c r="B216" t="s">
        <v>214</v>
      </c>
    </row>
    <row r="217" spans="1:2" x14ac:dyDescent="0.35">
      <c r="A217" s="23">
        <f t="shared" si="3"/>
        <v>216</v>
      </c>
      <c r="B217" t="s">
        <v>215</v>
      </c>
    </row>
    <row r="218" spans="1:2" x14ac:dyDescent="0.35">
      <c r="A218" s="23">
        <f t="shared" si="3"/>
        <v>217</v>
      </c>
      <c r="B218" t="s">
        <v>216</v>
      </c>
    </row>
    <row r="219" spans="1:2" x14ac:dyDescent="0.35">
      <c r="A219" s="23">
        <f t="shared" si="3"/>
        <v>218</v>
      </c>
      <c r="B219" t="s">
        <v>217</v>
      </c>
    </row>
    <row r="220" spans="1:2" x14ac:dyDescent="0.35">
      <c r="A220" s="23">
        <f t="shared" si="3"/>
        <v>219</v>
      </c>
      <c r="B220" t="s">
        <v>218</v>
      </c>
    </row>
    <row r="221" spans="1:2" x14ac:dyDescent="0.35">
      <c r="A221" s="23">
        <f t="shared" si="3"/>
        <v>220</v>
      </c>
      <c r="B221" t="s">
        <v>219</v>
      </c>
    </row>
    <row r="222" spans="1:2" x14ac:dyDescent="0.35">
      <c r="A222" s="23">
        <f t="shared" si="3"/>
        <v>221</v>
      </c>
      <c r="B222" t="s">
        <v>220</v>
      </c>
    </row>
    <row r="223" spans="1:2" x14ac:dyDescent="0.35">
      <c r="A223" s="23">
        <f t="shared" si="3"/>
        <v>222</v>
      </c>
      <c r="B223" t="s">
        <v>221</v>
      </c>
    </row>
    <row r="224" spans="1:2" x14ac:dyDescent="0.35">
      <c r="A224" s="23">
        <f t="shared" si="3"/>
        <v>223</v>
      </c>
      <c r="B224" t="s">
        <v>222</v>
      </c>
    </row>
    <row r="225" spans="1:2" x14ac:dyDescent="0.35">
      <c r="A225" s="23">
        <f t="shared" si="3"/>
        <v>224</v>
      </c>
      <c r="B225" t="s">
        <v>223</v>
      </c>
    </row>
    <row r="226" spans="1:2" x14ac:dyDescent="0.35">
      <c r="A226" s="23">
        <f t="shared" si="3"/>
        <v>225</v>
      </c>
      <c r="B226" t="s">
        <v>224</v>
      </c>
    </row>
    <row r="227" spans="1:2" x14ac:dyDescent="0.35">
      <c r="A227" s="23">
        <f t="shared" si="3"/>
        <v>226</v>
      </c>
      <c r="B227" t="s">
        <v>225</v>
      </c>
    </row>
    <row r="228" spans="1:2" x14ac:dyDescent="0.35">
      <c r="A228" s="23">
        <f t="shared" si="3"/>
        <v>227</v>
      </c>
      <c r="B228" t="s">
        <v>226</v>
      </c>
    </row>
    <row r="229" spans="1:2" x14ac:dyDescent="0.35">
      <c r="A229" s="23">
        <f t="shared" si="3"/>
        <v>228</v>
      </c>
      <c r="B229" t="s">
        <v>227</v>
      </c>
    </row>
    <row r="230" spans="1:2" x14ac:dyDescent="0.35">
      <c r="A230" s="23">
        <f t="shared" si="3"/>
        <v>229</v>
      </c>
      <c r="B230" t="s">
        <v>228</v>
      </c>
    </row>
    <row r="231" spans="1:2" x14ac:dyDescent="0.35">
      <c r="A231" s="23">
        <f t="shared" si="3"/>
        <v>230</v>
      </c>
      <c r="B231" t="s">
        <v>229</v>
      </c>
    </row>
    <row r="232" spans="1:2" x14ac:dyDescent="0.35">
      <c r="A232" s="23">
        <f t="shared" si="3"/>
        <v>231</v>
      </c>
      <c r="B232" t="s">
        <v>230</v>
      </c>
    </row>
    <row r="233" spans="1:2" x14ac:dyDescent="0.35">
      <c r="A233" s="23">
        <f t="shared" si="3"/>
        <v>232</v>
      </c>
      <c r="B233" t="s">
        <v>231</v>
      </c>
    </row>
    <row r="234" spans="1:2" x14ac:dyDescent="0.35">
      <c r="A234" s="23">
        <f t="shared" si="3"/>
        <v>233</v>
      </c>
      <c r="B234" t="s">
        <v>232</v>
      </c>
    </row>
    <row r="235" spans="1:2" x14ac:dyDescent="0.35">
      <c r="A235" s="23">
        <f t="shared" si="3"/>
        <v>234</v>
      </c>
      <c r="B235" t="s">
        <v>233</v>
      </c>
    </row>
    <row r="236" spans="1:2" x14ac:dyDescent="0.35">
      <c r="A236" s="23">
        <f t="shared" si="3"/>
        <v>235</v>
      </c>
      <c r="B236" t="s">
        <v>234</v>
      </c>
    </row>
    <row r="237" spans="1:2" x14ac:dyDescent="0.35">
      <c r="A237" s="23">
        <f t="shared" si="3"/>
        <v>236</v>
      </c>
      <c r="B237" t="s">
        <v>235</v>
      </c>
    </row>
    <row r="238" spans="1:2" x14ac:dyDescent="0.35">
      <c r="A238" s="23">
        <f t="shared" si="3"/>
        <v>237</v>
      </c>
      <c r="B238" t="s">
        <v>236</v>
      </c>
    </row>
    <row r="239" spans="1:2" x14ac:dyDescent="0.35">
      <c r="A239" s="23">
        <f t="shared" si="3"/>
        <v>238</v>
      </c>
      <c r="B239" t="s">
        <v>237</v>
      </c>
    </row>
    <row r="240" spans="1:2" x14ac:dyDescent="0.35">
      <c r="A240" s="23">
        <f t="shared" si="3"/>
        <v>239</v>
      </c>
      <c r="B240" t="s">
        <v>238</v>
      </c>
    </row>
    <row r="241" spans="1:2" x14ac:dyDescent="0.35">
      <c r="A241" s="23">
        <f t="shared" si="3"/>
        <v>240</v>
      </c>
      <c r="B241" t="s">
        <v>239</v>
      </c>
    </row>
    <row r="242" spans="1:2" x14ac:dyDescent="0.35">
      <c r="A242" s="23">
        <f t="shared" si="3"/>
        <v>241</v>
      </c>
      <c r="B242" t="s">
        <v>240</v>
      </c>
    </row>
    <row r="243" spans="1:2" x14ac:dyDescent="0.35">
      <c r="A243" s="23">
        <f t="shared" si="3"/>
        <v>242</v>
      </c>
      <c r="B243" t="s">
        <v>241</v>
      </c>
    </row>
    <row r="244" spans="1:2" x14ac:dyDescent="0.35">
      <c r="A244" s="23">
        <f t="shared" si="3"/>
        <v>243</v>
      </c>
      <c r="B244" t="s">
        <v>242</v>
      </c>
    </row>
    <row r="245" spans="1:2" x14ac:dyDescent="0.35">
      <c r="A245" s="23">
        <f t="shared" si="3"/>
        <v>244</v>
      </c>
      <c r="B245" t="s">
        <v>243</v>
      </c>
    </row>
    <row r="246" spans="1:2" x14ac:dyDescent="0.35">
      <c r="A246" s="23">
        <f t="shared" si="3"/>
        <v>245</v>
      </c>
      <c r="B246" t="s">
        <v>244</v>
      </c>
    </row>
    <row r="247" spans="1:2" x14ac:dyDescent="0.35">
      <c r="A247" s="23">
        <f t="shared" si="3"/>
        <v>246</v>
      </c>
      <c r="B247" t="s">
        <v>245</v>
      </c>
    </row>
    <row r="248" spans="1:2" x14ac:dyDescent="0.35">
      <c r="A248" s="23">
        <f t="shared" si="3"/>
        <v>247</v>
      </c>
      <c r="B248" t="s">
        <v>246</v>
      </c>
    </row>
    <row r="249" spans="1:2" x14ac:dyDescent="0.35">
      <c r="A249" s="23">
        <f t="shared" si="3"/>
        <v>248</v>
      </c>
      <c r="B249" t="s">
        <v>247</v>
      </c>
    </row>
    <row r="250" spans="1:2" x14ac:dyDescent="0.35">
      <c r="A250" s="23">
        <f t="shared" si="3"/>
        <v>249</v>
      </c>
      <c r="B250" t="s">
        <v>248</v>
      </c>
    </row>
    <row r="251" spans="1:2" x14ac:dyDescent="0.35">
      <c r="A251" s="23">
        <f t="shared" si="3"/>
        <v>250</v>
      </c>
      <c r="B251" t="s">
        <v>249</v>
      </c>
    </row>
    <row r="252" spans="1:2" x14ac:dyDescent="0.35">
      <c r="A252" s="23">
        <f t="shared" si="3"/>
        <v>251</v>
      </c>
      <c r="B252" t="s">
        <v>250</v>
      </c>
    </row>
    <row r="253" spans="1:2" x14ac:dyDescent="0.35">
      <c r="A253" s="23">
        <f t="shared" si="3"/>
        <v>252</v>
      </c>
      <c r="B253" t="s">
        <v>251</v>
      </c>
    </row>
    <row r="254" spans="1:2" x14ac:dyDescent="0.35">
      <c r="A254" s="23">
        <f t="shared" si="3"/>
        <v>253</v>
      </c>
      <c r="B254" t="s">
        <v>252</v>
      </c>
    </row>
    <row r="255" spans="1:2" x14ac:dyDescent="0.35">
      <c r="A255" s="23">
        <f t="shared" si="3"/>
        <v>254</v>
      </c>
      <c r="B255" t="s">
        <v>253</v>
      </c>
    </row>
    <row r="256" spans="1:2" x14ac:dyDescent="0.35">
      <c r="A256" s="23">
        <f t="shared" si="3"/>
        <v>255</v>
      </c>
      <c r="B256" t="s">
        <v>254</v>
      </c>
    </row>
    <row r="257" spans="1:2" x14ac:dyDescent="0.35">
      <c r="A257" s="23">
        <f t="shared" si="3"/>
        <v>256</v>
      </c>
      <c r="B257" t="s">
        <v>255</v>
      </c>
    </row>
    <row r="258" spans="1:2" x14ac:dyDescent="0.35">
      <c r="A258" s="23">
        <f t="shared" si="3"/>
        <v>257</v>
      </c>
      <c r="B258" t="s">
        <v>256</v>
      </c>
    </row>
    <row r="259" spans="1:2" x14ac:dyDescent="0.35">
      <c r="A259" s="23">
        <f t="shared" ref="A259:A322" si="4">A258+1</f>
        <v>258</v>
      </c>
      <c r="B259" t="s">
        <v>257</v>
      </c>
    </row>
    <row r="260" spans="1:2" x14ac:dyDescent="0.35">
      <c r="A260" s="23">
        <f t="shared" si="4"/>
        <v>259</v>
      </c>
      <c r="B260" t="s">
        <v>258</v>
      </c>
    </row>
    <row r="261" spans="1:2" x14ac:dyDescent="0.35">
      <c r="A261" s="23">
        <f t="shared" si="4"/>
        <v>260</v>
      </c>
      <c r="B261" t="s">
        <v>259</v>
      </c>
    </row>
    <row r="262" spans="1:2" x14ac:dyDescent="0.35">
      <c r="A262" s="23">
        <f t="shared" si="4"/>
        <v>261</v>
      </c>
      <c r="B262" t="s">
        <v>260</v>
      </c>
    </row>
    <row r="263" spans="1:2" x14ac:dyDescent="0.35">
      <c r="A263" s="23">
        <f t="shared" si="4"/>
        <v>262</v>
      </c>
      <c r="B263" t="s">
        <v>261</v>
      </c>
    </row>
    <row r="264" spans="1:2" x14ac:dyDescent="0.35">
      <c r="A264" s="23">
        <f t="shared" si="4"/>
        <v>263</v>
      </c>
      <c r="B264" t="s">
        <v>262</v>
      </c>
    </row>
    <row r="265" spans="1:2" x14ac:dyDescent="0.35">
      <c r="A265" s="23">
        <f t="shared" si="4"/>
        <v>264</v>
      </c>
      <c r="B265" t="s">
        <v>263</v>
      </c>
    </row>
    <row r="266" spans="1:2" x14ac:dyDescent="0.35">
      <c r="A266" s="23">
        <f t="shared" si="4"/>
        <v>265</v>
      </c>
      <c r="B266" t="s">
        <v>264</v>
      </c>
    </row>
    <row r="267" spans="1:2" x14ac:dyDescent="0.35">
      <c r="A267" s="23">
        <f t="shared" si="4"/>
        <v>266</v>
      </c>
      <c r="B267" t="s">
        <v>265</v>
      </c>
    </row>
    <row r="268" spans="1:2" x14ac:dyDescent="0.35">
      <c r="A268" s="23">
        <f t="shared" si="4"/>
        <v>267</v>
      </c>
      <c r="B268" t="s">
        <v>266</v>
      </c>
    </row>
    <row r="269" spans="1:2" x14ac:dyDescent="0.35">
      <c r="A269" s="23">
        <f t="shared" si="4"/>
        <v>268</v>
      </c>
      <c r="B269" t="s">
        <v>267</v>
      </c>
    </row>
    <row r="270" spans="1:2" x14ac:dyDescent="0.35">
      <c r="A270" s="23">
        <f t="shared" si="4"/>
        <v>269</v>
      </c>
      <c r="B270" t="s">
        <v>268</v>
      </c>
    </row>
    <row r="271" spans="1:2" x14ac:dyDescent="0.35">
      <c r="A271" s="23">
        <f t="shared" si="4"/>
        <v>270</v>
      </c>
      <c r="B271" t="s">
        <v>269</v>
      </c>
    </row>
    <row r="272" spans="1:2" x14ac:dyDescent="0.35">
      <c r="A272" s="23">
        <f t="shared" si="4"/>
        <v>271</v>
      </c>
      <c r="B272" t="s">
        <v>270</v>
      </c>
    </row>
    <row r="273" spans="1:2" x14ac:dyDescent="0.35">
      <c r="A273" s="23">
        <f t="shared" si="4"/>
        <v>272</v>
      </c>
      <c r="B273" t="s">
        <v>271</v>
      </c>
    </row>
    <row r="274" spans="1:2" x14ac:dyDescent="0.35">
      <c r="A274" s="23">
        <f t="shared" si="4"/>
        <v>273</v>
      </c>
      <c r="B274" t="s">
        <v>272</v>
      </c>
    </row>
    <row r="275" spans="1:2" x14ac:dyDescent="0.35">
      <c r="A275" s="23">
        <f t="shared" si="4"/>
        <v>274</v>
      </c>
      <c r="B275" t="s">
        <v>273</v>
      </c>
    </row>
    <row r="276" spans="1:2" x14ac:dyDescent="0.35">
      <c r="A276" s="23">
        <f t="shared" si="4"/>
        <v>275</v>
      </c>
      <c r="B276" t="s">
        <v>274</v>
      </c>
    </row>
    <row r="277" spans="1:2" x14ac:dyDescent="0.35">
      <c r="A277" s="23">
        <f t="shared" si="4"/>
        <v>276</v>
      </c>
      <c r="B277" t="s">
        <v>275</v>
      </c>
    </row>
    <row r="278" spans="1:2" x14ac:dyDescent="0.35">
      <c r="A278" s="23">
        <f t="shared" si="4"/>
        <v>277</v>
      </c>
      <c r="B278" t="s">
        <v>276</v>
      </c>
    </row>
    <row r="279" spans="1:2" x14ac:dyDescent="0.35">
      <c r="A279" s="23">
        <f t="shared" si="4"/>
        <v>278</v>
      </c>
      <c r="B279" t="s">
        <v>277</v>
      </c>
    </row>
    <row r="280" spans="1:2" x14ac:dyDescent="0.35">
      <c r="A280" s="23">
        <f t="shared" si="4"/>
        <v>279</v>
      </c>
      <c r="B280" t="s">
        <v>278</v>
      </c>
    </row>
    <row r="281" spans="1:2" x14ac:dyDescent="0.35">
      <c r="A281" s="23">
        <f t="shared" si="4"/>
        <v>280</v>
      </c>
      <c r="B281" t="s">
        <v>279</v>
      </c>
    </row>
    <row r="282" spans="1:2" x14ac:dyDescent="0.35">
      <c r="A282" s="23">
        <f t="shared" si="4"/>
        <v>281</v>
      </c>
      <c r="B282" t="s">
        <v>280</v>
      </c>
    </row>
    <row r="283" spans="1:2" x14ac:dyDescent="0.35">
      <c r="A283" s="23">
        <f t="shared" si="4"/>
        <v>282</v>
      </c>
      <c r="B283" t="s">
        <v>281</v>
      </c>
    </row>
    <row r="284" spans="1:2" x14ac:dyDescent="0.35">
      <c r="A284" s="23">
        <f t="shared" si="4"/>
        <v>283</v>
      </c>
      <c r="B284" t="s">
        <v>282</v>
      </c>
    </row>
    <row r="285" spans="1:2" x14ac:dyDescent="0.35">
      <c r="A285" s="23">
        <f t="shared" si="4"/>
        <v>284</v>
      </c>
      <c r="B285" t="s">
        <v>283</v>
      </c>
    </row>
    <row r="286" spans="1:2" x14ac:dyDescent="0.35">
      <c r="A286" s="23">
        <f t="shared" si="4"/>
        <v>285</v>
      </c>
      <c r="B286" t="s">
        <v>284</v>
      </c>
    </row>
    <row r="287" spans="1:2" x14ac:dyDescent="0.35">
      <c r="A287" s="23">
        <f t="shared" si="4"/>
        <v>286</v>
      </c>
      <c r="B287" t="s">
        <v>285</v>
      </c>
    </row>
    <row r="288" spans="1:2" x14ac:dyDescent="0.35">
      <c r="A288" s="23">
        <f t="shared" si="4"/>
        <v>287</v>
      </c>
      <c r="B288" t="s">
        <v>286</v>
      </c>
    </row>
    <row r="289" spans="1:2" x14ac:dyDescent="0.35">
      <c r="A289" s="23">
        <f t="shared" si="4"/>
        <v>288</v>
      </c>
      <c r="B289" t="s">
        <v>287</v>
      </c>
    </row>
    <row r="290" spans="1:2" x14ac:dyDescent="0.35">
      <c r="A290" s="23">
        <f t="shared" si="4"/>
        <v>289</v>
      </c>
      <c r="B290" t="s">
        <v>288</v>
      </c>
    </row>
    <row r="291" spans="1:2" x14ac:dyDescent="0.35">
      <c r="A291" s="23">
        <f t="shared" si="4"/>
        <v>290</v>
      </c>
      <c r="B291" t="s">
        <v>289</v>
      </c>
    </row>
    <row r="292" spans="1:2" x14ac:dyDescent="0.35">
      <c r="A292" s="23">
        <f t="shared" si="4"/>
        <v>291</v>
      </c>
      <c r="B292" t="s">
        <v>290</v>
      </c>
    </row>
    <row r="293" spans="1:2" x14ac:dyDescent="0.35">
      <c r="A293" s="23">
        <f t="shared" si="4"/>
        <v>292</v>
      </c>
      <c r="B293" t="s">
        <v>291</v>
      </c>
    </row>
    <row r="294" spans="1:2" x14ac:dyDescent="0.35">
      <c r="A294" s="23">
        <f t="shared" si="4"/>
        <v>293</v>
      </c>
      <c r="B294" t="s">
        <v>292</v>
      </c>
    </row>
    <row r="295" spans="1:2" x14ac:dyDescent="0.35">
      <c r="A295" s="23">
        <f t="shared" si="4"/>
        <v>294</v>
      </c>
      <c r="B295" t="s">
        <v>293</v>
      </c>
    </row>
    <row r="296" spans="1:2" x14ac:dyDescent="0.35">
      <c r="A296" s="23">
        <f t="shared" si="4"/>
        <v>295</v>
      </c>
      <c r="B296" t="s">
        <v>294</v>
      </c>
    </row>
    <row r="297" spans="1:2" x14ac:dyDescent="0.35">
      <c r="A297" s="23">
        <f t="shared" si="4"/>
        <v>296</v>
      </c>
      <c r="B297" t="s">
        <v>295</v>
      </c>
    </row>
    <row r="298" spans="1:2" x14ac:dyDescent="0.35">
      <c r="A298" s="23">
        <f t="shared" si="4"/>
        <v>297</v>
      </c>
      <c r="B298" t="s">
        <v>296</v>
      </c>
    </row>
    <row r="299" spans="1:2" x14ac:dyDescent="0.35">
      <c r="A299" s="23">
        <f t="shared" si="4"/>
        <v>298</v>
      </c>
      <c r="B299" t="s">
        <v>297</v>
      </c>
    </row>
    <row r="300" spans="1:2" x14ac:dyDescent="0.35">
      <c r="A300" s="23">
        <f t="shared" si="4"/>
        <v>299</v>
      </c>
      <c r="B300" t="s">
        <v>298</v>
      </c>
    </row>
    <row r="301" spans="1:2" x14ac:dyDescent="0.35">
      <c r="A301" s="23">
        <f t="shared" si="4"/>
        <v>300</v>
      </c>
      <c r="B301" t="s">
        <v>299</v>
      </c>
    </row>
    <row r="302" spans="1:2" x14ac:dyDescent="0.35">
      <c r="A302" s="23">
        <f t="shared" si="4"/>
        <v>301</v>
      </c>
      <c r="B302" t="s">
        <v>300</v>
      </c>
    </row>
    <row r="303" spans="1:2" x14ac:dyDescent="0.35">
      <c r="A303" s="23">
        <f t="shared" si="4"/>
        <v>302</v>
      </c>
      <c r="B303" t="s">
        <v>301</v>
      </c>
    </row>
    <row r="304" spans="1:2" x14ac:dyDescent="0.35">
      <c r="A304" s="23">
        <f t="shared" si="4"/>
        <v>303</v>
      </c>
      <c r="B304" t="s">
        <v>302</v>
      </c>
    </row>
    <row r="305" spans="1:2" x14ac:dyDescent="0.35">
      <c r="A305" s="23">
        <f t="shared" si="4"/>
        <v>304</v>
      </c>
      <c r="B305" t="s">
        <v>303</v>
      </c>
    </row>
    <row r="306" spans="1:2" x14ac:dyDescent="0.35">
      <c r="A306" s="23">
        <f t="shared" si="4"/>
        <v>305</v>
      </c>
      <c r="B306" t="s">
        <v>304</v>
      </c>
    </row>
    <row r="307" spans="1:2" x14ac:dyDescent="0.35">
      <c r="A307" s="23">
        <f t="shared" si="4"/>
        <v>306</v>
      </c>
      <c r="B307" t="s">
        <v>305</v>
      </c>
    </row>
    <row r="308" spans="1:2" x14ac:dyDescent="0.35">
      <c r="A308" s="23">
        <f t="shared" si="4"/>
        <v>307</v>
      </c>
      <c r="B308" t="s">
        <v>306</v>
      </c>
    </row>
    <row r="309" spans="1:2" x14ac:dyDescent="0.35">
      <c r="A309" s="23">
        <f t="shared" si="4"/>
        <v>308</v>
      </c>
      <c r="B309" t="s">
        <v>307</v>
      </c>
    </row>
    <row r="310" spans="1:2" x14ac:dyDescent="0.35">
      <c r="A310" s="23">
        <f t="shared" si="4"/>
        <v>309</v>
      </c>
      <c r="B310" t="s">
        <v>308</v>
      </c>
    </row>
    <row r="311" spans="1:2" x14ac:dyDescent="0.35">
      <c r="A311" s="23">
        <f t="shared" si="4"/>
        <v>310</v>
      </c>
      <c r="B311" t="s">
        <v>309</v>
      </c>
    </row>
    <row r="312" spans="1:2" x14ac:dyDescent="0.35">
      <c r="A312" s="23">
        <f t="shared" si="4"/>
        <v>311</v>
      </c>
      <c r="B312" t="s">
        <v>310</v>
      </c>
    </row>
    <row r="313" spans="1:2" x14ac:dyDescent="0.35">
      <c r="A313" s="23">
        <f t="shared" si="4"/>
        <v>312</v>
      </c>
      <c r="B313" t="s">
        <v>311</v>
      </c>
    </row>
    <row r="314" spans="1:2" x14ac:dyDescent="0.35">
      <c r="A314" s="23">
        <f t="shared" si="4"/>
        <v>313</v>
      </c>
      <c r="B314" t="s">
        <v>312</v>
      </c>
    </row>
    <row r="315" spans="1:2" x14ac:dyDescent="0.35">
      <c r="A315" s="23">
        <f t="shared" si="4"/>
        <v>314</v>
      </c>
      <c r="B315" t="s">
        <v>313</v>
      </c>
    </row>
    <row r="316" spans="1:2" x14ac:dyDescent="0.35">
      <c r="A316" s="23">
        <f t="shared" si="4"/>
        <v>315</v>
      </c>
      <c r="B316" t="s">
        <v>314</v>
      </c>
    </row>
    <row r="317" spans="1:2" x14ac:dyDescent="0.35">
      <c r="A317" s="23">
        <f t="shared" si="4"/>
        <v>316</v>
      </c>
      <c r="B317" t="s">
        <v>315</v>
      </c>
    </row>
    <row r="318" spans="1:2" x14ac:dyDescent="0.35">
      <c r="A318" s="23">
        <f t="shared" si="4"/>
        <v>317</v>
      </c>
      <c r="B318" t="s">
        <v>316</v>
      </c>
    </row>
    <row r="319" spans="1:2" x14ac:dyDescent="0.35">
      <c r="A319" s="23">
        <f t="shared" si="4"/>
        <v>318</v>
      </c>
      <c r="B319" t="s">
        <v>317</v>
      </c>
    </row>
    <row r="320" spans="1:2" x14ac:dyDescent="0.35">
      <c r="A320" s="23">
        <f t="shared" si="4"/>
        <v>319</v>
      </c>
      <c r="B320" t="s">
        <v>318</v>
      </c>
    </row>
    <row r="321" spans="1:2" x14ac:dyDescent="0.35">
      <c r="A321" s="23">
        <f t="shared" si="4"/>
        <v>320</v>
      </c>
      <c r="B321" t="s">
        <v>319</v>
      </c>
    </row>
    <row r="322" spans="1:2" x14ac:dyDescent="0.35">
      <c r="A322" s="23">
        <f t="shared" si="4"/>
        <v>321</v>
      </c>
      <c r="B322" t="s">
        <v>320</v>
      </c>
    </row>
    <row r="323" spans="1:2" x14ac:dyDescent="0.35">
      <c r="A323" s="23">
        <f t="shared" ref="A323:A386" si="5">A322+1</f>
        <v>322</v>
      </c>
      <c r="B323" t="s">
        <v>321</v>
      </c>
    </row>
    <row r="324" spans="1:2" x14ac:dyDescent="0.35">
      <c r="A324" s="23">
        <f t="shared" si="5"/>
        <v>323</v>
      </c>
      <c r="B324" t="s">
        <v>322</v>
      </c>
    </row>
    <row r="325" spans="1:2" x14ac:dyDescent="0.35">
      <c r="A325" s="23">
        <f t="shared" si="5"/>
        <v>324</v>
      </c>
      <c r="B325" t="s">
        <v>323</v>
      </c>
    </row>
    <row r="326" spans="1:2" x14ac:dyDescent="0.35">
      <c r="A326" s="23">
        <f t="shared" si="5"/>
        <v>325</v>
      </c>
      <c r="B326" t="s">
        <v>324</v>
      </c>
    </row>
    <row r="327" spans="1:2" x14ac:dyDescent="0.35">
      <c r="A327" s="23">
        <f t="shared" si="5"/>
        <v>326</v>
      </c>
      <c r="B327" t="s">
        <v>325</v>
      </c>
    </row>
    <row r="328" spans="1:2" x14ac:dyDescent="0.35">
      <c r="A328" s="23">
        <f t="shared" si="5"/>
        <v>327</v>
      </c>
      <c r="B328" t="s">
        <v>326</v>
      </c>
    </row>
    <row r="329" spans="1:2" x14ac:dyDescent="0.35">
      <c r="A329" s="23">
        <f t="shared" si="5"/>
        <v>328</v>
      </c>
      <c r="B329" t="s">
        <v>327</v>
      </c>
    </row>
    <row r="330" spans="1:2" x14ac:dyDescent="0.35">
      <c r="A330" s="23">
        <f t="shared" si="5"/>
        <v>329</v>
      </c>
      <c r="B330" t="s">
        <v>328</v>
      </c>
    </row>
    <row r="331" spans="1:2" x14ac:dyDescent="0.35">
      <c r="A331" s="23">
        <f t="shared" si="5"/>
        <v>330</v>
      </c>
      <c r="B331" t="s">
        <v>329</v>
      </c>
    </row>
    <row r="332" spans="1:2" x14ac:dyDescent="0.35">
      <c r="A332" s="23">
        <f t="shared" si="5"/>
        <v>331</v>
      </c>
      <c r="B332" t="s">
        <v>330</v>
      </c>
    </row>
    <row r="333" spans="1:2" x14ac:dyDescent="0.35">
      <c r="A333" s="23">
        <f t="shared" si="5"/>
        <v>332</v>
      </c>
      <c r="B333" t="s">
        <v>331</v>
      </c>
    </row>
    <row r="334" spans="1:2" x14ac:dyDescent="0.35">
      <c r="A334" s="23">
        <f t="shared" si="5"/>
        <v>333</v>
      </c>
      <c r="B334" t="s">
        <v>332</v>
      </c>
    </row>
    <row r="335" spans="1:2" x14ac:dyDescent="0.35">
      <c r="A335" s="23">
        <f t="shared" si="5"/>
        <v>334</v>
      </c>
      <c r="B335" t="s">
        <v>333</v>
      </c>
    </row>
    <row r="336" spans="1:2" x14ac:dyDescent="0.35">
      <c r="A336" s="23">
        <f t="shared" si="5"/>
        <v>335</v>
      </c>
      <c r="B336" t="s">
        <v>334</v>
      </c>
    </row>
    <row r="337" spans="1:2" x14ac:dyDescent="0.35">
      <c r="A337" s="23">
        <f t="shared" si="5"/>
        <v>336</v>
      </c>
      <c r="B337" t="s">
        <v>335</v>
      </c>
    </row>
    <row r="338" spans="1:2" x14ac:dyDescent="0.35">
      <c r="A338" s="23">
        <f t="shared" si="5"/>
        <v>337</v>
      </c>
      <c r="B338" t="s">
        <v>336</v>
      </c>
    </row>
    <row r="339" spans="1:2" x14ac:dyDescent="0.35">
      <c r="A339" s="23">
        <f t="shared" si="5"/>
        <v>338</v>
      </c>
      <c r="B339" t="s">
        <v>337</v>
      </c>
    </row>
    <row r="340" spans="1:2" x14ac:dyDescent="0.35">
      <c r="A340" s="23">
        <f t="shared" si="5"/>
        <v>339</v>
      </c>
      <c r="B340" t="s">
        <v>338</v>
      </c>
    </row>
    <row r="341" spans="1:2" x14ac:dyDescent="0.35">
      <c r="A341" s="23">
        <f t="shared" si="5"/>
        <v>340</v>
      </c>
      <c r="B341" t="s">
        <v>339</v>
      </c>
    </row>
    <row r="342" spans="1:2" x14ac:dyDescent="0.35">
      <c r="A342" s="23">
        <f t="shared" si="5"/>
        <v>341</v>
      </c>
      <c r="B342" t="s">
        <v>340</v>
      </c>
    </row>
    <row r="343" spans="1:2" x14ac:dyDescent="0.35">
      <c r="A343" s="23">
        <f t="shared" si="5"/>
        <v>342</v>
      </c>
      <c r="B343" t="s">
        <v>341</v>
      </c>
    </row>
    <row r="344" spans="1:2" x14ac:dyDescent="0.35">
      <c r="A344" s="23">
        <f t="shared" si="5"/>
        <v>343</v>
      </c>
      <c r="B344" t="s">
        <v>342</v>
      </c>
    </row>
    <row r="345" spans="1:2" x14ac:dyDescent="0.35">
      <c r="A345" s="23">
        <f t="shared" si="5"/>
        <v>344</v>
      </c>
      <c r="B345" t="s">
        <v>343</v>
      </c>
    </row>
    <row r="346" spans="1:2" x14ac:dyDescent="0.35">
      <c r="A346" s="23">
        <f t="shared" si="5"/>
        <v>345</v>
      </c>
      <c r="B346" t="s">
        <v>344</v>
      </c>
    </row>
    <row r="347" spans="1:2" x14ac:dyDescent="0.35">
      <c r="A347" s="23">
        <f t="shared" si="5"/>
        <v>346</v>
      </c>
      <c r="B347" t="s">
        <v>345</v>
      </c>
    </row>
    <row r="348" spans="1:2" x14ac:dyDescent="0.35">
      <c r="A348" s="23">
        <f t="shared" si="5"/>
        <v>347</v>
      </c>
      <c r="B348" t="s">
        <v>346</v>
      </c>
    </row>
    <row r="349" spans="1:2" x14ac:dyDescent="0.35">
      <c r="A349" s="23">
        <f t="shared" si="5"/>
        <v>348</v>
      </c>
      <c r="B349" t="s">
        <v>347</v>
      </c>
    </row>
    <row r="350" spans="1:2" x14ac:dyDescent="0.35">
      <c r="A350" s="23">
        <f t="shared" si="5"/>
        <v>349</v>
      </c>
      <c r="B350" t="s">
        <v>348</v>
      </c>
    </row>
    <row r="351" spans="1:2" x14ac:dyDescent="0.35">
      <c r="A351" s="23">
        <f t="shared" si="5"/>
        <v>350</v>
      </c>
      <c r="B351" t="s">
        <v>349</v>
      </c>
    </row>
    <row r="352" spans="1:2" x14ac:dyDescent="0.35">
      <c r="A352" s="23">
        <f t="shared" si="5"/>
        <v>351</v>
      </c>
      <c r="B352" t="s">
        <v>350</v>
      </c>
    </row>
    <row r="353" spans="1:2" x14ac:dyDescent="0.35">
      <c r="A353" s="23">
        <f t="shared" si="5"/>
        <v>352</v>
      </c>
      <c r="B353" t="s">
        <v>351</v>
      </c>
    </row>
    <row r="354" spans="1:2" x14ac:dyDescent="0.35">
      <c r="A354" s="23">
        <f t="shared" si="5"/>
        <v>353</v>
      </c>
      <c r="B354" t="s">
        <v>352</v>
      </c>
    </row>
    <row r="355" spans="1:2" x14ac:dyDescent="0.35">
      <c r="A355" s="23">
        <f t="shared" si="5"/>
        <v>354</v>
      </c>
      <c r="B355" t="s">
        <v>353</v>
      </c>
    </row>
    <row r="356" spans="1:2" x14ac:dyDescent="0.35">
      <c r="A356" s="23">
        <f t="shared" si="5"/>
        <v>355</v>
      </c>
      <c r="B356" t="s">
        <v>354</v>
      </c>
    </row>
    <row r="357" spans="1:2" x14ac:dyDescent="0.35">
      <c r="A357" s="23">
        <f t="shared" si="5"/>
        <v>356</v>
      </c>
      <c r="B357" t="s">
        <v>355</v>
      </c>
    </row>
    <row r="358" spans="1:2" x14ac:dyDescent="0.35">
      <c r="A358" s="23">
        <f t="shared" si="5"/>
        <v>357</v>
      </c>
      <c r="B358" t="s">
        <v>356</v>
      </c>
    </row>
    <row r="359" spans="1:2" x14ac:dyDescent="0.35">
      <c r="A359" s="23">
        <f t="shared" si="5"/>
        <v>358</v>
      </c>
      <c r="B359" t="s">
        <v>357</v>
      </c>
    </row>
    <row r="360" spans="1:2" x14ac:dyDescent="0.35">
      <c r="A360" s="23">
        <f t="shared" si="5"/>
        <v>359</v>
      </c>
      <c r="B360" t="s">
        <v>358</v>
      </c>
    </row>
    <row r="361" spans="1:2" x14ac:dyDescent="0.35">
      <c r="A361" s="23">
        <f t="shared" si="5"/>
        <v>360</v>
      </c>
      <c r="B361" t="s">
        <v>359</v>
      </c>
    </row>
    <row r="362" spans="1:2" x14ac:dyDescent="0.35">
      <c r="A362" s="23">
        <f t="shared" si="5"/>
        <v>361</v>
      </c>
      <c r="B362" t="s">
        <v>360</v>
      </c>
    </row>
    <row r="363" spans="1:2" x14ac:dyDescent="0.35">
      <c r="A363" s="23">
        <f t="shared" si="5"/>
        <v>362</v>
      </c>
      <c r="B363" t="s">
        <v>361</v>
      </c>
    </row>
    <row r="364" spans="1:2" x14ac:dyDescent="0.35">
      <c r="A364" s="23">
        <f t="shared" si="5"/>
        <v>363</v>
      </c>
      <c r="B364" t="s">
        <v>362</v>
      </c>
    </row>
    <row r="365" spans="1:2" x14ac:dyDescent="0.35">
      <c r="A365" s="23">
        <f t="shared" si="5"/>
        <v>364</v>
      </c>
      <c r="B365" t="s">
        <v>363</v>
      </c>
    </row>
    <row r="366" spans="1:2" x14ac:dyDescent="0.35">
      <c r="A366" s="23">
        <f t="shared" si="5"/>
        <v>365</v>
      </c>
      <c r="B366" t="s">
        <v>364</v>
      </c>
    </row>
    <row r="367" spans="1:2" x14ac:dyDescent="0.35">
      <c r="A367" s="23">
        <f t="shared" si="5"/>
        <v>366</v>
      </c>
      <c r="B367" t="s">
        <v>365</v>
      </c>
    </row>
    <row r="368" spans="1:2" x14ac:dyDescent="0.35">
      <c r="A368" s="23">
        <f t="shared" si="5"/>
        <v>367</v>
      </c>
      <c r="B368" t="s">
        <v>366</v>
      </c>
    </row>
    <row r="369" spans="1:2" x14ac:dyDescent="0.35">
      <c r="A369" s="23">
        <f t="shared" si="5"/>
        <v>368</v>
      </c>
      <c r="B369" t="s">
        <v>367</v>
      </c>
    </row>
    <row r="370" spans="1:2" x14ac:dyDescent="0.35">
      <c r="A370" s="23">
        <f t="shared" si="5"/>
        <v>369</v>
      </c>
      <c r="B370" t="s">
        <v>368</v>
      </c>
    </row>
    <row r="371" spans="1:2" x14ac:dyDescent="0.35">
      <c r="A371" s="23">
        <f t="shared" si="5"/>
        <v>370</v>
      </c>
      <c r="B371" t="s">
        <v>369</v>
      </c>
    </row>
    <row r="372" spans="1:2" x14ac:dyDescent="0.35">
      <c r="A372" s="23">
        <f t="shared" si="5"/>
        <v>371</v>
      </c>
      <c r="B372" t="s">
        <v>370</v>
      </c>
    </row>
    <row r="373" spans="1:2" x14ac:dyDescent="0.35">
      <c r="A373" s="23">
        <f t="shared" si="5"/>
        <v>372</v>
      </c>
      <c r="B373" t="s">
        <v>371</v>
      </c>
    </row>
    <row r="374" spans="1:2" x14ac:dyDescent="0.35">
      <c r="A374" s="23">
        <f t="shared" si="5"/>
        <v>373</v>
      </c>
      <c r="B374" t="s">
        <v>372</v>
      </c>
    </row>
    <row r="375" spans="1:2" x14ac:dyDescent="0.35">
      <c r="A375" s="23">
        <f t="shared" si="5"/>
        <v>374</v>
      </c>
      <c r="B375" t="s">
        <v>373</v>
      </c>
    </row>
    <row r="376" spans="1:2" x14ac:dyDescent="0.35">
      <c r="A376" s="23">
        <f t="shared" si="5"/>
        <v>375</v>
      </c>
      <c r="B376" t="s">
        <v>374</v>
      </c>
    </row>
    <row r="377" spans="1:2" x14ac:dyDescent="0.35">
      <c r="A377" s="23">
        <f t="shared" si="5"/>
        <v>376</v>
      </c>
      <c r="B377" t="s">
        <v>375</v>
      </c>
    </row>
    <row r="378" spans="1:2" x14ac:dyDescent="0.35">
      <c r="A378" s="23">
        <f t="shared" si="5"/>
        <v>377</v>
      </c>
      <c r="B378" t="s">
        <v>376</v>
      </c>
    </row>
    <row r="379" spans="1:2" x14ac:dyDescent="0.35">
      <c r="A379" s="23">
        <f t="shared" si="5"/>
        <v>378</v>
      </c>
      <c r="B379" t="s">
        <v>377</v>
      </c>
    </row>
    <row r="380" spans="1:2" x14ac:dyDescent="0.35">
      <c r="A380" s="23">
        <f t="shared" si="5"/>
        <v>379</v>
      </c>
      <c r="B380" t="s">
        <v>378</v>
      </c>
    </row>
    <row r="381" spans="1:2" x14ac:dyDescent="0.35">
      <c r="A381" s="23">
        <f t="shared" si="5"/>
        <v>380</v>
      </c>
      <c r="B381" t="s">
        <v>379</v>
      </c>
    </row>
    <row r="382" spans="1:2" x14ac:dyDescent="0.35">
      <c r="A382" s="23">
        <f t="shared" si="5"/>
        <v>381</v>
      </c>
      <c r="B382" t="s">
        <v>380</v>
      </c>
    </row>
    <row r="383" spans="1:2" x14ac:dyDescent="0.35">
      <c r="A383" s="23">
        <f t="shared" si="5"/>
        <v>382</v>
      </c>
      <c r="B383" t="s">
        <v>381</v>
      </c>
    </row>
    <row r="384" spans="1:2" x14ac:dyDescent="0.35">
      <c r="A384" s="23">
        <f t="shared" si="5"/>
        <v>383</v>
      </c>
      <c r="B384" t="s">
        <v>382</v>
      </c>
    </row>
    <row r="385" spans="1:2" x14ac:dyDescent="0.35">
      <c r="A385" s="23">
        <f t="shared" si="5"/>
        <v>384</v>
      </c>
      <c r="B385" t="s">
        <v>383</v>
      </c>
    </row>
    <row r="386" spans="1:2" x14ac:dyDescent="0.35">
      <c r="A386" s="23">
        <f t="shared" si="5"/>
        <v>385</v>
      </c>
      <c r="B386" t="s">
        <v>384</v>
      </c>
    </row>
    <row r="387" spans="1:2" x14ac:dyDescent="0.35">
      <c r="A387" s="23">
        <f t="shared" ref="A387:A450" si="6">A386+1</f>
        <v>386</v>
      </c>
      <c r="B387" t="s">
        <v>385</v>
      </c>
    </row>
    <row r="388" spans="1:2" x14ac:dyDescent="0.35">
      <c r="A388" s="23">
        <f t="shared" si="6"/>
        <v>387</v>
      </c>
      <c r="B388" t="s">
        <v>386</v>
      </c>
    </row>
    <row r="389" spans="1:2" x14ac:dyDescent="0.35">
      <c r="A389" s="23">
        <f t="shared" si="6"/>
        <v>388</v>
      </c>
      <c r="B389" t="s">
        <v>387</v>
      </c>
    </row>
    <row r="390" spans="1:2" x14ac:dyDescent="0.35">
      <c r="A390" s="23">
        <f t="shared" si="6"/>
        <v>389</v>
      </c>
      <c r="B390" t="s">
        <v>388</v>
      </c>
    </row>
    <row r="391" spans="1:2" x14ac:dyDescent="0.35">
      <c r="A391" s="23">
        <f t="shared" si="6"/>
        <v>390</v>
      </c>
      <c r="B391" t="s">
        <v>389</v>
      </c>
    </row>
    <row r="392" spans="1:2" x14ac:dyDescent="0.35">
      <c r="A392" s="23">
        <f t="shared" si="6"/>
        <v>391</v>
      </c>
      <c r="B392" t="s">
        <v>390</v>
      </c>
    </row>
    <row r="393" spans="1:2" x14ac:dyDescent="0.35">
      <c r="A393" s="23">
        <f t="shared" si="6"/>
        <v>392</v>
      </c>
      <c r="B393" t="s">
        <v>391</v>
      </c>
    </row>
    <row r="394" spans="1:2" x14ac:dyDescent="0.35">
      <c r="A394" s="23">
        <f t="shared" si="6"/>
        <v>393</v>
      </c>
      <c r="B394" t="s">
        <v>392</v>
      </c>
    </row>
    <row r="395" spans="1:2" x14ac:dyDescent="0.35">
      <c r="A395" s="23">
        <f t="shared" si="6"/>
        <v>394</v>
      </c>
      <c r="B395" t="s">
        <v>393</v>
      </c>
    </row>
    <row r="396" spans="1:2" x14ac:dyDescent="0.35">
      <c r="A396" s="23">
        <f t="shared" si="6"/>
        <v>395</v>
      </c>
      <c r="B396" t="s">
        <v>394</v>
      </c>
    </row>
    <row r="397" spans="1:2" x14ac:dyDescent="0.35">
      <c r="A397" s="23">
        <f t="shared" si="6"/>
        <v>396</v>
      </c>
      <c r="B397" t="s">
        <v>395</v>
      </c>
    </row>
    <row r="398" spans="1:2" x14ac:dyDescent="0.35">
      <c r="A398" s="23">
        <f t="shared" si="6"/>
        <v>397</v>
      </c>
      <c r="B398" t="s">
        <v>396</v>
      </c>
    </row>
    <row r="399" spans="1:2" x14ac:dyDescent="0.35">
      <c r="A399" s="23">
        <f t="shared" si="6"/>
        <v>398</v>
      </c>
      <c r="B399" t="s">
        <v>397</v>
      </c>
    </row>
    <row r="400" spans="1:2" x14ac:dyDescent="0.35">
      <c r="A400" s="23">
        <f t="shared" si="6"/>
        <v>399</v>
      </c>
      <c r="B400" t="s">
        <v>398</v>
      </c>
    </row>
    <row r="401" spans="1:2" x14ac:dyDescent="0.35">
      <c r="A401" s="23">
        <f t="shared" si="6"/>
        <v>400</v>
      </c>
      <c r="B401" t="s">
        <v>399</v>
      </c>
    </row>
    <row r="402" spans="1:2" x14ac:dyDescent="0.35">
      <c r="A402" s="23">
        <f t="shared" si="6"/>
        <v>401</v>
      </c>
      <c r="B402" t="s">
        <v>400</v>
      </c>
    </row>
    <row r="403" spans="1:2" x14ac:dyDescent="0.35">
      <c r="A403" s="23">
        <f t="shared" si="6"/>
        <v>402</v>
      </c>
      <c r="B403" t="s">
        <v>401</v>
      </c>
    </row>
    <row r="404" spans="1:2" x14ac:dyDescent="0.35">
      <c r="A404" s="23">
        <f t="shared" si="6"/>
        <v>403</v>
      </c>
      <c r="B404" t="s">
        <v>402</v>
      </c>
    </row>
    <row r="405" spans="1:2" x14ac:dyDescent="0.35">
      <c r="A405" s="23">
        <f t="shared" si="6"/>
        <v>404</v>
      </c>
      <c r="B405" t="s">
        <v>403</v>
      </c>
    </row>
    <row r="406" spans="1:2" x14ac:dyDescent="0.35">
      <c r="A406" s="23">
        <f t="shared" si="6"/>
        <v>405</v>
      </c>
      <c r="B406" t="s">
        <v>404</v>
      </c>
    </row>
    <row r="407" spans="1:2" x14ac:dyDescent="0.35">
      <c r="A407" s="23">
        <f t="shared" si="6"/>
        <v>406</v>
      </c>
      <c r="B407" t="s">
        <v>405</v>
      </c>
    </row>
    <row r="408" spans="1:2" x14ac:dyDescent="0.35">
      <c r="A408" s="23">
        <f t="shared" si="6"/>
        <v>407</v>
      </c>
      <c r="B408" t="s">
        <v>406</v>
      </c>
    </row>
    <row r="409" spans="1:2" x14ac:dyDescent="0.35">
      <c r="A409" s="23">
        <f t="shared" si="6"/>
        <v>408</v>
      </c>
      <c r="B409" t="s">
        <v>407</v>
      </c>
    </row>
    <row r="410" spans="1:2" x14ac:dyDescent="0.35">
      <c r="A410" s="23">
        <f t="shared" si="6"/>
        <v>409</v>
      </c>
      <c r="B410" t="s">
        <v>408</v>
      </c>
    </row>
    <row r="411" spans="1:2" x14ac:dyDescent="0.35">
      <c r="A411" s="23">
        <f t="shared" si="6"/>
        <v>410</v>
      </c>
      <c r="B411" t="s">
        <v>409</v>
      </c>
    </row>
    <row r="412" spans="1:2" x14ac:dyDescent="0.35">
      <c r="A412" s="23">
        <f t="shared" si="6"/>
        <v>411</v>
      </c>
      <c r="B412" t="s">
        <v>410</v>
      </c>
    </row>
    <row r="413" spans="1:2" x14ac:dyDescent="0.35">
      <c r="A413" s="23">
        <f t="shared" si="6"/>
        <v>412</v>
      </c>
      <c r="B413" t="s">
        <v>411</v>
      </c>
    </row>
    <row r="414" spans="1:2" x14ac:dyDescent="0.35">
      <c r="A414" s="23">
        <f t="shared" si="6"/>
        <v>413</v>
      </c>
      <c r="B414" t="s">
        <v>412</v>
      </c>
    </row>
    <row r="415" spans="1:2" x14ac:dyDescent="0.35">
      <c r="A415" s="23">
        <f t="shared" si="6"/>
        <v>414</v>
      </c>
      <c r="B415" t="s">
        <v>413</v>
      </c>
    </row>
    <row r="416" spans="1:2" x14ac:dyDescent="0.35">
      <c r="A416" s="23">
        <f t="shared" si="6"/>
        <v>415</v>
      </c>
      <c r="B416" t="s">
        <v>414</v>
      </c>
    </row>
    <row r="417" spans="1:2" x14ac:dyDescent="0.35">
      <c r="A417" s="23">
        <f t="shared" si="6"/>
        <v>416</v>
      </c>
      <c r="B417" t="s">
        <v>415</v>
      </c>
    </row>
    <row r="418" spans="1:2" x14ac:dyDescent="0.35">
      <c r="A418" s="23">
        <f t="shared" si="6"/>
        <v>417</v>
      </c>
      <c r="B418" t="s">
        <v>416</v>
      </c>
    </row>
    <row r="419" spans="1:2" x14ac:dyDescent="0.35">
      <c r="A419" s="23">
        <f t="shared" si="6"/>
        <v>418</v>
      </c>
      <c r="B419" t="s">
        <v>417</v>
      </c>
    </row>
    <row r="420" spans="1:2" x14ac:dyDescent="0.35">
      <c r="A420" s="23">
        <f t="shared" si="6"/>
        <v>419</v>
      </c>
      <c r="B420" t="s">
        <v>418</v>
      </c>
    </row>
    <row r="421" spans="1:2" x14ac:dyDescent="0.35">
      <c r="A421" s="23">
        <f t="shared" si="6"/>
        <v>420</v>
      </c>
      <c r="B421" t="s">
        <v>419</v>
      </c>
    </row>
    <row r="422" spans="1:2" x14ac:dyDescent="0.35">
      <c r="A422" s="23">
        <f t="shared" si="6"/>
        <v>421</v>
      </c>
      <c r="B422" t="s">
        <v>420</v>
      </c>
    </row>
    <row r="423" spans="1:2" x14ac:dyDescent="0.35">
      <c r="A423" s="23">
        <f t="shared" si="6"/>
        <v>422</v>
      </c>
      <c r="B423" t="s">
        <v>421</v>
      </c>
    </row>
    <row r="424" spans="1:2" x14ac:dyDescent="0.35">
      <c r="A424" s="23">
        <f t="shared" si="6"/>
        <v>423</v>
      </c>
      <c r="B424" t="s">
        <v>422</v>
      </c>
    </row>
    <row r="425" spans="1:2" x14ac:dyDescent="0.35">
      <c r="A425" s="23">
        <f t="shared" si="6"/>
        <v>424</v>
      </c>
      <c r="B425" t="s">
        <v>423</v>
      </c>
    </row>
    <row r="426" spans="1:2" x14ac:dyDescent="0.35">
      <c r="A426" s="23">
        <f t="shared" si="6"/>
        <v>425</v>
      </c>
      <c r="B426" t="s">
        <v>424</v>
      </c>
    </row>
    <row r="427" spans="1:2" x14ac:dyDescent="0.35">
      <c r="A427" s="23">
        <f t="shared" si="6"/>
        <v>426</v>
      </c>
      <c r="B427" t="s">
        <v>425</v>
      </c>
    </row>
    <row r="428" spans="1:2" x14ac:dyDescent="0.35">
      <c r="A428" s="23">
        <f t="shared" si="6"/>
        <v>427</v>
      </c>
      <c r="B428" t="s">
        <v>426</v>
      </c>
    </row>
    <row r="429" spans="1:2" x14ac:dyDescent="0.35">
      <c r="A429" s="23">
        <f t="shared" si="6"/>
        <v>428</v>
      </c>
      <c r="B429" t="s">
        <v>427</v>
      </c>
    </row>
    <row r="430" spans="1:2" x14ac:dyDescent="0.35">
      <c r="A430" s="23">
        <f t="shared" si="6"/>
        <v>429</v>
      </c>
      <c r="B430" t="s">
        <v>428</v>
      </c>
    </row>
    <row r="431" spans="1:2" x14ac:dyDescent="0.35">
      <c r="A431" s="23">
        <f t="shared" si="6"/>
        <v>430</v>
      </c>
      <c r="B431" t="s">
        <v>429</v>
      </c>
    </row>
    <row r="432" spans="1:2" x14ac:dyDescent="0.35">
      <c r="A432" s="23">
        <f t="shared" si="6"/>
        <v>431</v>
      </c>
      <c r="B432" t="s">
        <v>430</v>
      </c>
    </row>
    <row r="433" spans="1:2" x14ac:dyDescent="0.35">
      <c r="A433" s="23">
        <f t="shared" si="6"/>
        <v>432</v>
      </c>
      <c r="B433" t="s">
        <v>431</v>
      </c>
    </row>
    <row r="434" spans="1:2" x14ac:dyDescent="0.35">
      <c r="A434" s="23">
        <f t="shared" si="6"/>
        <v>433</v>
      </c>
      <c r="B434" t="s">
        <v>432</v>
      </c>
    </row>
    <row r="435" spans="1:2" x14ac:dyDescent="0.35">
      <c r="A435" s="23">
        <f t="shared" si="6"/>
        <v>434</v>
      </c>
      <c r="B435" t="s">
        <v>433</v>
      </c>
    </row>
    <row r="436" spans="1:2" x14ac:dyDescent="0.35">
      <c r="A436" s="23">
        <f t="shared" si="6"/>
        <v>435</v>
      </c>
      <c r="B436" t="s">
        <v>434</v>
      </c>
    </row>
    <row r="437" spans="1:2" x14ac:dyDescent="0.35">
      <c r="A437" s="23">
        <f t="shared" si="6"/>
        <v>436</v>
      </c>
      <c r="B437" t="s">
        <v>435</v>
      </c>
    </row>
    <row r="438" spans="1:2" x14ac:dyDescent="0.35">
      <c r="A438" s="23">
        <f t="shared" si="6"/>
        <v>437</v>
      </c>
      <c r="B438" t="s">
        <v>436</v>
      </c>
    </row>
    <row r="439" spans="1:2" x14ac:dyDescent="0.35">
      <c r="A439" s="23">
        <f t="shared" si="6"/>
        <v>438</v>
      </c>
      <c r="B439" t="s">
        <v>437</v>
      </c>
    </row>
    <row r="440" spans="1:2" x14ac:dyDescent="0.35">
      <c r="A440" s="23">
        <f t="shared" si="6"/>
        <v>439</v>
      </c>
      <c r="B440" t="s">
        <v>438</v>
      </c>
    </row>
    <row r="441" spans="1:2" x14ac:dyDescent="0.35">
      <c r="A441" s="23">
        <f t="shared" si="6"/>
        <v>440</v>
      </c>
      <c r="B441" t="s">
        <v>439</v>
      </c>
    </row>
    <row r="442" spans="1:2" x14ac:dyDescent="0.35">
      <c r="A442" s="23">
        <f t="shared" si="6"/>
        <v>441</v>
      </c>
      <c r="B442" t="s">
        <v>440</v>
      </c>
    </row>
    <row r="443" spans="1:2" x14ac:dyDescent="0.35">
      <c r="A443" s="23">
        <f t="shared" si="6"/>
        <v>442</v>
      </c>
      <c r="B443" t="s">
        <v>441</v>
      </c>
    </row>
    <row r="444" spans="1:2" x14ac:dyDescent="0.35">
      <c r="A444" s="23">
        <f t="shared" si="6"/>
        <v>443</v>
      </c>
      <c r="B444" t="s">
        <v>442</v>
      </c>
    </row>
    <row r="445" spans="1:2" x14ac:dyDescent="0.35">
      <c r="A445" s="23">
        <f t="shared" si="6"/>
        <v>444</v>
      </c>
      <c r="B445" t="s">
        <v>443</v>
      </c>
    </row>
    <row r="446" spans="1:2" x14ac:dyDescent="0.35">
      <c r="A446" s="23">
        <f t="shared" si="6"/>
        <v>445</v>
      </c>
      <c r="B446" t="s">
        <v>444</v>
      </c>
    </row>
    <row r="447" spans="1:2" x14ac:dyDescent="0.35">
      <c r="A447" s="23">
        <f t="shared" si="6"/>
        <v>446</v>
      </c>
      <c r="B447" t="s">
        <v>445</v>
      </c>
    </row>
    <row r="448" spans="1:2" x14ac:dyDescent="0.35">
      <c r="A448" s="23">
        <f t="shared" si="6"/>
        <v>447</v>
      </c>
      <c r="B448" t="s">
        <v>446</v>
      </c>
    </row>
    <row r="449" spans="1:2" x14ac:dyDescent="0.35">
      <c r="A449" s="23">
        <f t="shared" si="6"/>
        <v>448</v>
      </c>
      <c r="B449" t="s">
        <v>447</v>
      </c>
    </row>
    <row r="450" spans="1:2" x14ac:dyDescent="0.35">
      <c r="A450" s="23">
        <f t="shared" si="6"/>
        <v>449</v>
      </c>
      <c r="B450" t="s">
        <v>448</v>
      </c>
    </row>
    <row r="451" spans="1:2" x14ac:dyDescent="0.35">
      <c r="A451" s="23">
        <f t="shared" ref="A451:A497" si="7">A450+1</f>
        <v>450</v>
      </c>
      <c r="B451" t="s">
        <v>449</v>
      </c>
    </row>
    <row r="452" spans="1:2" x14ac:dyDescent="0.35">
      <c r="A452" s="23">
        <f t="shared" si="7"/>
        <v>451</v>
      </c>
      <c r="B452" t="s">
        <v>450</v>
      </c>
    </row>
    <row r="453" spans="1:2" x14ac:dyDescent="0.35">
      <c r="A453" s="23">
        <f t="shared" si="7"/>
        <v>452</v>
      </c>
      <c r="B453" t="s">
        <v>451</v>
      </c>
    </row>
    <row r="454" spans="1:2" x14ac:dyDescent="0.35">
      <c r="A454" s="23">
        <f t="shared" si="7"/>
        <v>453</v>
      </c>
      <c r="B454" t="s">
        <v>452</v>
      </c>
    </row>
    <row r="455" spans="1:2" x14ac:dyDescent="0.35">
      <c r="A455" s="23">
        <f t="shared" si="7"/>
        <v>454</v>
      </c>
      <c r="B455" t="s">
        <v>453</v>
      </c>
    </row>
    <row r="456" spans="1:2" x14ac:dyDescent="0.35">
      <c r="A456" s="23">
        <f t="shared" si="7"/>
        <v>455</v>
      </c>
      <c r="B456" t="s">
        <v>454</v>
      </c>
    </row>
    <row r="457" spans="1:2" x14ac:dyDescent="0.35">
      <c r="A457" s="23">
        <f t="shared" si="7"/>
        <v>456</v>
      </c>
      <c r="B457" t="s">
        <v>455</v>
      </c>
    </row>
    <row r="458" spans="1:2" x14ac:dyDescent="0.35">
      <c r="A458" s="23">
        <f t="shared" si="7"/>
        <v>457</v>
      </c>
      <c r="B458" t="s">
        <v>456</v>
      </c>
    </row>
    <row r="459" spans="1:2" x14ac:dyDescent="0.35">
      <c r="A459" s="23">
        <f t="shared" si="7"/>
        <v>458</v>
      </c>
      <c r="B459" t="s">
        <v>457</v>
      </c>
    </row>
    <row r="460" spans="1:2" x14ac:dyDescent="0.35">
      <c r="A460" s="23">
        <f t="shared" si="7"/>
        <v>459</v>
      </c>
      <c r="B460" t="s">
        <v>458</v>
      </c>
    </row>
    <row r="461" spans="1:2" x14ac:dyDescent="0.35">
      <c r="A461" s="23">
        <f t="shared" si="7"/>
        <v>460</v>
      </c>
      <c r="B461" t="s">
        <v>459</v>
      </c>
    </row>
    <row r="462" spans="1:2" x14ac:dyDescent="0.35">
      <c r="A462" s="23">
        <f t="shared" si="7"/>
        <v>461</v>
      </c>
      <c r="B462" t="s">
        <v>460</v>
      </c>
    </row>
    <row r="463" spans="1:2" x14ac:dyDescent="0.35">
      <c r="A463" s="23">
        <f t="shared" si="7"/>
        <v>462</v>
      </c>
      <c r="B463" t="s">
        <v>461</v>
      </c>
    </row>
    <row r="464" spans="1:2" x14ac:dyDescent="0.35">
      <c r="A464" s="23">
        <f t="shared" si="7"/>
        <v>463</v>
      </c>
      <c r="B464" t="s">
        <v>462</v>
      </c>
    </row>
    <row r="465" spans="1:2" x14ac:dyDescent="0.35">
      <c r="A465" s="23">
        <f t="shared" si="7"/>
        <v>464</v>
      </c>
      <c r="B465" t="s">
        <v>463</v>
      </c>
    </row>
    <row r="466" spans="1:2" x14ac:dyDescent="0.35">
      <c r="A466" s="23">
        <f t="shared" si="7"/>
        <v>465</v>
      </c>
      <c r="B466" t="s">
        <v>464</v>
      </c>
    </row>
    <row r="467" spans="1:2" x14ac:dyDescent="0.35">
      <c r="A467" s="23">
        <f t="shared" si="7"/>
        <v>466</v>
      </c>
      <c r="B467" t="s">
        <v>465</v>
      </c>
    </row>
    <row r="468" spans="1:2" x14ac:dyDescent="0.35">
      <c r="A468" s="23">
        <f t="shared" si="7"/>
        <v>467</v>
      </c>
      <c r="B468" t="s">
        <v>466</v>
      </c>
    </row>
    <row r="469" spans="1:2" x14ac:dyDescent="0.35">
      <c r="A469" s="23">
        <f t="shared" si="7"/>
        <v>468</v>
      </c>
      <c r="B469" t="s">
        <v>467</v>
      </c>
    </row>
    <row r="470" spans="1:2" x14ac:dyDescent="0.35">
      <c r="A470" s="23">
        <f t="shared" si="7"/>
        <v>469</v>
      </c>
      <c r="B470" t="s">
        <v>468</v>
      </c>
    </row>
    <row r="471" spans="1:2" x14ac:dyDescent="0.35">
      <c r="A471" s="23">
        <f t="shared" si="7"/>
        <v>470</v>
      </c>
      <c r="B471" t="s">
        <v>469</v>
      </c>
    </row>
    <row r="472" spans="1:2" x14ac:dyDescent="0.35">
      <c r="A472" s="23">
        <f t="shared" si="7"/>
        <v>471</v>
      </c>
      <c r="B472" t="s">
        <v>470</v>
      </c>
    </row>
    <row r="473" spans="1:2" x14ac:dyDescent="0.35">
      <c r="A473" s="23">
        <f t="shared" si="7"/>
        <v>472</v>
      </c>
      <c r="B473" t="s">
        <v>471</v>
      </c>
    </row>
    <row r="474" spans="1:2" x14ac:dyDescent="0.35">
      <c r="A474" s="23">
        <f t="shared" si="7"/>
        <v>473</v>
      </c>
      <c r="B474" t="s">
        <v>472</v>
      </c>
    </row>
    <row r="475" spans="1:2" x14ac:dyDescent="0.35">
      <c r="A475" s="23">
        <f t="shared" si="7"/>
        <v>474</v>
      </c>
      <c r="B475" t="s">
        <v>473</v>
      </c>
    </row>
    <row r="476" spans="1:2" x14ac:dyDescent="0.35">
      <c r="A476" s="23">
        <f t="shared" si="7"/>
        <v>475</v>
      </c>
      <c r="B476" t="s">
        <v>474</v>
      </c>
    </row>
    <row r="477" spans="1:2" x14ac:dyDescent="0.35">
      <c r="A477" s="23">
        <f t="shared" si="7"/>
        <v>476</v>
      </c>
      <c r="B477" t="s">
        <v>475</v>
      </c>
    </row>
    <row r="478" spans="1:2" x14ac:dyDescent="0.35">
      <c r="A478" s="23">
        <f t="shared" si="7"/>
        <v>477</v>
      </c>
      <c r="B478" t="s">
        <v>476</v>
      </c>
    </row>
    <row r="479" spans="1:2" x14ac:dyDescent="0.35">
      <c r="A479" s="23">
        <f t="shared" si="7"/>
        <v>478</v>
      </c>
      <c r="B479" t="s">
        <v>477</v>
      </c>
    </row>
    <row r="480" spans="1:2" x14ac:dyDescent="0.35">
      <c r="A480" s="23">
        <f t="shared" si="7"/>
        <v>479</v>
      </c>
      <c r="B480" t="s">
        <v>478</v>
      </c>
    </row>
    <row r="481" spans="1:2" x14ac:dyDescent="0.35">
      <c r="A481" s="23">
        <f t="shared" si="7"/>
        <v>480</v>
      </c>
      <c r="B481" t="s">
        <v>479</v>
      </c>
    </row>
    <row r="482" spans="1:2" x14ac:dyDescent="0.35">
      <c r="A482" s="23">
        <f t="shared" si="7"/>
        <v>481</v>
      </c>
      <c r="B482" t="s">
        <v>480</v>
      </c>
    </row>
    <row r="483" spans="1:2" x14ac:dyDescent="0.35">
      <c r="A483" s="23">
        <f t="shared" si="7"/>
        <v>482</v>
      </c>
      <c r="B483" t="s">
        <v>481</v>
      </c>
    </row>
    <row r="484" spans="1:2" x14ac:dyDescent="0.35">
      <c r="A484" s="23">
        <f t="shared" si="7"/>
        <v>483</v>
      </c>
      <c r="B484" t="s">
        <v>482</v>
      </c>
    </row>
    <row r="485" spans="1:2" x14ac:dyDescent="0.35">
      <c r="A485" s="23">
        <f t="shared" si="7"/>
        <v>484</v>
      </c>
      <c r="B485" t="s">
        <v>483</v>
      </c>
    </row>
    <row r="486" spans="1:2" x14ac:dyDescent="0.35">
      <c r="A486" s="23">
        <f t="shared" si="7"/>
        <v>485</v>
      </c>
      <c r="B486" t="s">
        <v>484</v>
      </c>
    </row>
    <row r="487" spans="1:2" x14ac:dyDescent="0.35">
      <c r="A487" s="23">
        <f t="shared" si="7"/>
        <v>486</v>
      </c>
      <c r="B487" t="s">
        <v>485</v>
      </c>
    </row>
    <row r="488" spans="1:2" x14ac:dyDescent="0.35">
      <c r="A488" s="23">
        <f t="shared" si="7"/>
        <v>487</v>
      </c>
      <c r="B488" t="s">
        <v>486</v>
      </c>
    </row>
    <row r="489" spans="1:2" x14ac:dyDescent="0.35">
      <c r="A489" s="23">
        <f t="shared" si="7"/>
        <v>488</v>
      </c>
      <c r="B489" t="s">
        <v>487</v>
      </c>
    </row>
    <row r="490" spans="1:2" x14ac:dyDescent="0.35">
      <c r="A490" s="23">
        <f t="shared" si="7"/>
        <v>489</v>
      </c>
      <c r="B490" t="s">
        <v>488</v>
      </c>
    </row>
    <row r="491" spans="1:2" x14ac:dyDescent="0.35">
      <c r="A491" s="23">
        <f t="shared" si="7"/>
        <v>490</v>
      </c>
      <c r="B491" t="s">
        <v>489</v>
      </c>
    </row>
    <row r="492" spans="1:2" x14ac:dyDescent="0.35">
      <c r="A492" s="23">
        <f t="shared" si="7"/>
        <v>491</v>
      </c>
      <c r="B492" t="s">
        <v>490</v>
      </c>
    </row>
    <row r="493" spans="1:2" x14ac:dyDescent="0.35">
      <c r="A493" s="23">
        <f t="shared" si="7"/>
        <v>492</v>
      </c>
      <c r="B493" t="s">
        <v>491</v>
      </c>
    </row>
    <row r="494" spans="1:2" x14ac:dyDescent="0.35">
      <c r="A494" s="23">
        <f t="shared" si="7"/>
        <v>493</v>
      </c>
      <c r="B494" t="s">
        <v>492</v>
      </c>
    </row>
    <row r="495" spans="1:2" x14ac:dyDescent="0.35">
      <c r="A495" s="23">
        <f t="shared" si="7"/>
        <v>494</v>
      </c>
      <c r="B495" t="s">
        <v>493</v>
      </c>
    </row>
    <row r="496" spans="1:2" x14ac:dyDescent="0.35">
      <c r="A496" s="23">
        <f t="shared" si="7"/>
        <v>495</v>
      </c>
      <c r="B496" t="s">
        <v>494</v>
      </c>
    </row>
    <row r="497" spans="1:2" x14ac:dyDescent="0.35">
      <c r="A497" s="23">
        <f t="shared" si="7"/>
        <v>496</v>
      </c>
      <c r="B497" t="s">
        <v>495</v>
      </c>
    </row>
    <row r="498" spans="1:2" x14ac:dyDescent="0.35">
      <c r="A498" s="23"/>
    </row>
    <row r="499" spans="1:2" x14ac:dyDescent="0.35">
      <c r="A499" s="23"/>
    </row>
    <row r="500" spans="1:2" x14ac:dyDescent="0.35">
      <c r="A500" s="23"/>
    </row>
    <row r="501" spans="1:2" x14ac:dyDescent="0.35">
      <c r="A501" s="2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X501"/>
  <sheetViews>
    <sheetView zoomScaleNormal="100" workbookViewId="0">
      <pane xSplit="3" ySplit="1" topLeftCell="D2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cols>
    <col min="3" max="3" width="10.453125" customWidth="1"/>
    <col min="4" max="4" width="43.1796875" customWidth="1"/>
    <col min="6" max="6" width="45.453125" bestFit="1" customWidth="1"/>
    <col min="8" max="8" width="43.1796875" bestFit="1" customWidth="1"/>
    <col min="10" max="10" width="39" bestFit="1" customWidth="1"/>
    <col min="11" max="11" width="34.1796875" bestFit="1" customWidth="1"/>
    <col min="12" max="12" width="31" bestFit="1" customWidth="1"/>
    <col min="13" max="13" width="28.453125" bestFit="1" customWidth="1"/>
    <col min="14" max="14" width="26.54296875" bestFit="1" customWidth="1"/>
    <col min="15" max="15" width="28" customWidth="1"/>
    <col min="23" max="23" width="8.90625" bestFit="1" customWidth="1"/>
    <col min="24" max="24" width="12.81640625" customWidth="1"/>
  </cols>
  <sheetData>
    <row r="1" spans="3:24" x14ac:dyDescent="0.35">
      <c r="C1" s="25" t="s">
        <v>0</v>
      </c>
      <c r="D1" s="26" t="s">
        <v>528</v>
      </c>
    </row>
    <row r="2" spans="3:24" x14ac:dyDescent="0.35">
      <c r="C2" s="2">
        <v>1</v>
      </c>
      <c r="D2" t="s">
        <v>496</v>
      </c>
      <c r="E2">
        <f>CODE(RIGHT(D2,1))</f>
        <v>31</v>
      </c>
      <c r="F2" t="str">
        <f>CLEAN(D2)</f>
        <v xml:space="preserve">/PR:Games____SP:Barney20171027  $1250   </v>
      </c>
      <c r="G2">
        <f>CODE(RIGHT(F2,1))</f>
        <v>32</v>
      </c>
      <c r="H2" t="str">
        <f>TRIM(F2)</f>
        <v>/PR:Games____SP:Barney20171027  $1250</v>
      </c>
      <c r="I2">
        <f>CODE(RIGHT(H2,1))</f>
        <v>48</v>
      </c>
      <c r="J2" t="str">
        <f>SUBSTITUTE(H2,"/","")</f>
        <v>PR:Games____SP:Barney20171027  $1250</v>
      </c>
      <c r="K2" t="str">
        <f>SUBSTITUTE(J2,"_"," ")</f>
        <v>PR:Games    SP:Barney20171027  $1250</v>
      </c>
      <c r="L2" t="str">
        <f>SUBSTITUTE(K2,"PR:","")</f>
        <v>Games    SP:Barney20171027  $1250</v>
      </c>
      <c r="M2" t="str">
        <f>SUBSTITUTE(L2,"SP:","")</f>
        <v>Games    Barney20171027  $1250</v>
      </c>
      <c r="N2" t="str">
        <f>TRIM(SUBSTITUTE(M2,CHAR(160)," "))</f>
        <v>Games Barney20171027 $1250</v>
      </c>
      <c r="O2" t="str">
        <f>SUBSTITUTE(N2,"2017"," 2017")</f>
        <v>Games Barney 20171027 $1250</v>
      </c>
      <c r="P2">
        <f>SEARCH(" ",O2,1)</f>
        <v>6</v>
      </c>
      <c r="Q2">
        <f>SEARCH(" ",O2,P2+1)</f>
        <v>13</v>
      </c>
      <c r="R2">
        <f>SEARCH(" ",O2,Q2+1)</f>
        <v>22</v>
      </c>
      <c r="S2" t="str">
        <f>LEFT(O2,P2-1)</f>
        <v>Games</v>
      </c>
      <c r="T2" t="str">
        <f>MID(O2,P2+1,Q2-P2-1)</f>
        <v>Barney</v>
      </c>
      <c r="U2" t="str">
        <f>MID(O2,Q2+1,R2-Q2-1)</f>
        <v>20171027</v>
      </c>
      <c r="V2" s="5" t="str">
        <f>MID(O2,R2+2,99)</f>
        <v>1250</v>
      </c>
      <c r="W2" s="4">
        <f>DATE(2017,10,MID(U2,7,2))</f>
        <v>43035</v>
      </c>
      <c r="X2" s="5">
        <f>VALUE(V2)</f>
        <v>1250</v>
      </c>
    </row>
    <row r="3" spans="3:24" x14ac:dyDescent="0.35">
      <c r="C3" s="2">
        <f t="shared" ref="C3:C66" si="0">C2+1</f>
        <v>2</v>
      </c>
      <c r="D3" t="s">
        <v>1</v>
      </c>
      <c r="E3">
        <f t="shared" ref="E3:E66" si="1">CODE(RIGHT(D3,1))</f>
        <v>30</v>
      </c>
      <c r="F3" t="str">
        <f t="shared" ref="F3:F66" si="2">CLEAN(D3)</f>
        <v xml:space="preserve">////PR:Music_SP:David20171020     $1054  </v>
      </c>
      <c r="G3">
        <f t="shared" ref="G3:G66" si="3">CODE(RIGHT(F3,1))</f>
        <v>32</v>
      </c>
      <c r="H3" t="str">
        <f t="shared" ref="H3:H66" si="4">TRIM(F3)</f>
        <v>////PR:Music_SP:David20171020     $1054</v>
      </c>
      <c r="I3">
        <f t="shared" ref="I3:I66" si="5">CODE(RIGHT(H3,1))</f>
        <v>52</v>
      </c>
      <c r="J3" t="str">
        <f t="shared" ref="J3:J66" si="6">SUBSTITUTE(H3,"/","")</f>
        <v>PR:Music_SP:David20171020     $1054</v>
      </c>
      <c r="K3" t="str">
        <f>SUBSTITUTE(J3,"_"," ")</f>
        <v>PR:Music SP:David20171020     $1054</v>
      </c>
      <c r="L3" t="str">
        <f t="shared" ref="L3:L66" si="7">SUBSTITUTE(K3,"PR:","")</f>
        <v>Music SP:David20171020     $1054</v>
      </c>
      <c r="M3" t="str">
        <f t="shared" ref="M3:M66" si="8">SUBSTITUTE(L3,"SP:","")</f>
        <v>Music David20171020     $1054</v>
      </c>
      <c r="N3" t="str">
        <f t="shared" ref="N3:N66" si="9">TRIM(SUBSTITUTE(M3,CHAR(160)," "))</f>
        <v>Music David20171020 $1054</v>
      </c>
      <c r="O3" t="str">
        <f t="shared" ref="O3:O66" si="10">SUBSTITUTE(N3,"2017"," 2017")</f>
        <v>Music David 20171020 $1054</v>
      </c>
      <c r="P3">
        <f t="shared" ref="P3:P66" si="11">SEARCH(" ",O3,1)</f>
        <v>6</v>
      </c>
      <c r="Q3">
        <f t="shared" ref="Q3:Q66" si="12">SEARCH(" ",O3,P3+1)</f>
        <v>12</v>
      </c>
      <c r="R3">
        <f t="shared" ref="R3:R66" si="13">SEARCH(" ",O3,Q3+1)</f>
        <v>21</v>
      </c>
      <c r="S3" t="str">
        <f t="shared" ref="S3:S66" si="14">LEFT(O3,P3-1)</f>
        <v>Music</v>
      </c>
      <c r="T3" t="str">
        <f t="shared" ref="T3:T66" si="15">MID(O3,P3+1,Q3-P3-1)</f>
        <v>David</v>
      </c>
      <c r="U3" t="str">
        <f t="shared" ref="U3:U66" si="16">MID(O3,Q3+1,R3-Q3-1)</f>
        <v>20171020</v>
      </c>
      <c r="V3" t="str">
        <f t="shared" ref="V3:V66" si="17">MID(O3,R3+2,99)</f>
        <v>1054</v>
      </c>
      <c r="W3" s="4">
        <f t="shared" ref="W3:W66" si="18">DATE(2017,10,MID(U3,7,2))</f>
        <v>43028</v>
      </c>
      <c r="X3" s="5">
        <f t="shared" ref="X3:X66" si="19">VALUE(V3)</f>
        <v>1054</v>
      </c>
    </row>
    <row r="4" spans="3:24" x14ac:dyDescent="0.35">
      <c r="C4" s="2">
        <f>C3+1</f>
        <v>3</v>
      </c>
      <c r="D4" t="s">
        <v>2</v>
      </c>
      <c r="E4">
        <f t="shared" si="1"/>
        <v>28</v>
      </c>
      <c r="F4" t="str">
        <f t="shared" si="2"/>
        <v xml:space="preserve">//PR:Books__SP:Barney20171027     $699     </v>
      </c>
      <c r="G4">
        <f t="shared" si="3"/>
        <v>32</v>
      </c>
      <c r="H4" t="str">
        <f t="shared" si="4"/>
        <v>//PR:Books__SP:Barney20171027     $699</v>
      </c>
      <c r="I4">
        <f t="shared" si="5"/>
        <v>57</v>
      </c>
      <c r="J4" t="str">
        <f t="shared" si="6"/>
        <v>PR:Books__SP:Barney20171027     $699</v>
      </c>
      <c r="K4" t="str">
        <f t="shared" ref="K4:K66" si="20">SUBSTITUTE(J4,"_"," ")</f>
        <v>PR:Books  SP:Barney20171027     $699</v>
      </c>
      <c r="L4" t="str">
        <f t="shared" si="7"/>
        <v>Books  SP:Barney20171027     $699</v>
      </c>
      <c r="M4" t="str">
        <f t="shared" si="8"/>
        <v>Books  Barney20171027     $699</v>
      </c>
      <c r="N4" t="str">
        <f t="shared" si="9"/>
        <v>Books Barney20171027 $699</v>
      </c>
      <c r="O4" t="str">
        <f>SUBSTITUTE(N4,"2017"," 2017")</f>
        <v>Books Barney 20171027 $699</v>
      </c>
      <c r="P4">
        <f t="shared" si="11"/>
        <v>6</v>
      </c>
      <c r="Q4">
        <f t="shared" si="12"/>
        <v>13</v>
      </c>
      <c r="R4">
        <f t="shared" si="13"/>
        <v>22</v>
      </c>
      <c r="S4" t="str">
        <f t="shared" si="14"/>
        <v>Books</v>
      </c>
      <c r="T4" t="str">
        <f t="shared" si="15"/>
        <v>Barney</v>
      </c>
      <c r="U4" t="str">
        <f t="shared" si="16"/>
        <v>20171027</v>
      </c>
      <c r="V4" t="str">
        <f t="shared" si="17"/>
        <v>699</v>
      </c>
      <c r="W4" s="4">
        <f t="shared" si="18"/>
        <v>43035</v>
      </c>
      <c r="X4" s="5">
        <f t="shared" si="19"/>
        <v>699</v>
      </c>
    </row>
    <row r="5" spans="3:24" x14ac:dyDescent="0.35">
      <c r="C5" s="2">
        <f t="shared" si="0"/>
        <v>4</v>
      </c>
      <c r="D5" t="s">
        <v>3</v>
      </c>
      <c r="E5">
        <f t="shared" si="1"/>
        <v>28</v>
      </c>
      <c r="F5" t="str">
        <f t="shared" si="2"/>
        <v xml:space="preserve">/PR:Music___SP:Carol20171031  $1305   </v>
      </c>
      <c r="G5">
        <f t="shared" si="3"/>
        <v>32</v>
      </c>
      <c r="H5" t="str">
        <f t="shared" si="4"/>
        <v>/PR:Music___SP:Carol20171031  $1305</v>
      </c>
      <c r="I5">
        <f t="shared" si="5"/>
        <v>53</v>
      </c>
      <c r="J5" t="str">
        <f t="shared" si="6"/>
        <v>PR:Music___SP:Carol20171031  $1305</v>
      </c>
      <c r="K5" t="str">
        <f t="shared" si="20"/>
        <v>PR:Music   SP:Carol20171031  $1305</v>
      </c>
      <c r="L5" t="str">
        <f t="shared" si="7"/>
        <v>Music   SP:Carol20171031  $1305</v>
      </c>
      <c r="M5" t="str">
        <f t="shared" si="8"/>
        <v>Music   Carol20171031  $1305</v>
      </c>
      <c r="N5" t="str">
        <f t="shared" si="9"/>
        <v>Music Carol20171031 $1305</v>
      </c>
      <c r="O5" t="str">
        <f t="shared" si="10"/>
        <v>Music Carol 20171031 $1305</v>
      </c>
      <c r="P5">
        <f t="shared" si="11"/>
        <v>6</v>
      </c>
      <c r="Q5">
        <f t="shared" si="12"/>
        <v>12</v>
      </c>
      <c r="R5">
        <f t="shared" si="13"/>
        <v>21</v>
      </c>
      <c r="S5" t="str">
        <f t="shared" si="14"/>
        <v>Music</v>
      </c>
      <c r="T5" t="str">
        <f t="shared" si="15"/>
        <v>Carol</v>
      </c>
      <c r="U5" t="str">
        <f t="shared" si="16"/>
        <v>20171031</v>
      </c>
      <c r="V5" t="str">
        <f t="shared" si="17"/>
        <v>1305</v>
      </c>
      <c r="W5" s="4">
        <f t="shared" si="18"/>
        <v>43039</v>
      </c>
      <c r="X5" s="5">
        <f t="shared" si="19"/>
        <v>1305</v>
      </c>
    </row>
    <row r="6" spans="3:24" x14ac:dyDescent="0.35">
      <c r="C6" s="2">
        <f t="shared" si="0"/>
        <v>5</v>
      </c>
      <c r="D6" t="s">
        <v>4</v>
      </c>
      <c r="E6">
        <f t="shared" si="1"/>
        <v>29</v>
      </c>
      <c r="F6" t="str">
        <f t="shared" si="2"/>
        <v xml:space="preserve">//PR:Games__SP:David20171027   $0 </v>
      </c>
      <c r="G6">
        <f t="shared" si="3"/>
        <v>32</v>
      </c>
      <c r="H6" t="str">
        <f t="shared" si="4"/>
        <v>//PR:Games__SP:David20171027   $0</v>
      </c>
      <c r="I6">
        <f t="shared" si="5"/>
        <v>48</v>
      </c>
      <c r="J6" t="str">
        <f t="shared" si="6"/>
        <v>PR:Games__SP:David20171027   $0</v>
      </c>
      <c r="K6" t="str">
        <f t="shared" si="20"/>
        <v>PR:Games  SP:David20171027   $0</v>
      </c>
      <c r="L6" t="str">
        <f t="shared" si="7"/>
        <v>Games  SP:David20171027   $0</v>
      </c>
      <c r="M6" t="str">
        <f t="shared" si="8"/>
        <v>Games  David20171027   $0</v>
      </c>
      <c r="N6" t="str">
        <f t="shared" si="9"/>
        <v>Games David20171027 $0</v>
      </c>
      <c r="O6" t="str">
        <f t="shared" si="10"/>
        <v>Games David 20171027 $0</v>
      </c>
      <c r="P6">
        <f t="shared" si="11"/>
        <v>6</v>
      </c>
      <c r="Q6">
        <f t="shared" si="12"/>
        <v>12</v>
      </c>
      <c r="R6">
        <f t="shared" si="13"/>
        <v>21</v>
      </c>
      <c r="S6" t="str">
        <f t="shared" si="14"/>
        <v>Games</v>
      </c>
      <c r="T6" t="str">
        <f t="shared" si="15"/>
        <v>David</v>
      </c>
      <c r="U6" t="str">
        <f t="shared" si="16"/>
        <v>20171027</v>
      </c>
      <c r="V6" t="str">
        <f t="shared" si="17"/>
        <v>0</v>
      </c>
      <c r="W6" s="4">
        <f t="shared" si="18"/>
        <v>43035</v>
      </c>
      <c r="X6" s="5">
        <f t="shared" si="19"/>
        <v>0</v>
      </c>
    </row>
    <row r="7" spans="3:24" x14ac:dyDescent="0.35">
      <c r="C7" s="2">
        <f t="shared" si="0"/>
        <v>6</v>
      </c>
      <c r="D7" t="s">
        <v>5</v>
      </c>
      <c r="E7">
        <f t="shared" si="1"/>
        <v>29</v>
      </c>
      <c r="F7" t="str">
        <f t="shared" si="2"/>
        <v xml:space="preserve">//PR:Books___SP:Barney20171026     $740    </v>
      </c>
      <c r="G7">
        <f t="shared" si="3"/>
        <v>32</v>
      </c>
      <c r="H7" t="str">
        <f t="shared" si="4"/>
        <v>//PR:Books___SP:Barney20171026     $740</v>
      </c>
      <c r="I7">
        <f t="shared" si="5"/>
        <v>48</v>
      </c>
      <c r="J7" t="str">
        <f t="shared" si="6"/>
        <v>PR:Books___SP:Barney20171026     $740</v>
      </c>
      <c r="K7" t="str">
        <f t="shared" si="20"/>
        <v>PR:Books   SP:Barney20171026     $740</v>
      </c>
      <c r="L7" t="str">
        <f t="shared" si="7"/>
        <v>Books   SP:Barney20171026     $740</v>
      </c>
      <c r="M7" t="str">
        <f t="shared" si="8"/>
        <v>Books   Barney20171026     $740</v>
      </c>
      <c r="N7" t="str">
        <f t="shared" si="9"/>
        <v>Books Barney20171026 $740</v>
      </c>
      <c r="O7" t="str">
        <f t="shared" si="10"/>
        <v>Books Barney 20171026 $740</v>
      </c>
      <c r="P7">
        <f t="shared" si="11"/>
        <v>6</v>
      </c>
      <c r="Q7">
        <f t="shared" si="12"/>
        <v>13</v>
      </c>
      <c r="R7">
        <f t="shared" si="13"/>
        <v>22</v>
      </c>
      <c r="S7" t="str">
        <f t="shared" si="14"/>
        <v>Books</v>
      </c>
      <c r="T7" t="str">
        <f t="shared" si="15"/>
        <v>Barney</v>
      </c>
      <c r="U7" t="str">
        <f t="shared" si="16"/>
        <v>20171026</v>
      </c>
      <c r="V7" t="str">
        <f t="shared" si="17"/>
        <v>740</v>
      </c>
      <c r="W7" s="4">
        <f t="shared" si="18"/>
        <v>43034</v>
      </c>
      <c r="X7" s="5">
        <f t="shared" si="19"/>
        <v>740</v>
      </c>
    </row>
    <row r="8" spans="3:24" x14ac:dyDescent="0.35">
      <c r="C8" s="2">
        <f t="shared" si="0"/>
        <v>7</v>
      </c>
      <c r="D8" t="s">
        <v>6</v>
      </c>
      <c r="E8">
        <f t="shared" si="1"/>
        <v>31</v>
      </c>
      <c r="F8" t="str">
        <f t="shared" si="2"/>
        <v xml:space="preserve">////PR:Clothing__SP:David20171011  $811    </v>
      </c>
      <c r="G8">
        <f t="shared" si="3"/>
        <v>32</v>
      </c>
      <c r="H8" t="str">
        <f t="shared" si="4"/>
        <v>////PR:Clothing__SP:David20171011  $811</v>
      </c>
      <c r="I8">
        <f t="shared" si="5"/>
        <v>49</v>
      </c>
      <c r="J8" t="str">
        <f t="shared" si="6"/>
        <v>PR:Clothing__SP:David20171011  $811</v>
      </c>
      <c r="K8" t="str">
        <f t="shared" si="20"/>
        <v>PR:Clothing  SP:David20171011  $811</v>
      </c>
      <c r="L8" t="str">
        <f t="shared" si="7"/>
        <v>Clothing  SP:David20171011  $811</v>
      </c>
      <c r="M8" t="str">
        <f t="shared" si="8"/>
        <v>Clothing  David20171011  $811</v>
      </c>
      <c r="N8" t="str">
        <f t="shared" si="9"/>
        <v>Clothing David20171011 $811</v>
      </c>
      <c r="O8" t="str">
        <f t="shared" si="10"/>
        <v>Clothing David 20171011 $811</v>
      </c>
      <c r="P8">
        <f t="shared" si="11"/>
        <v>9</v>
      </c>
      <c r="Q8">
        <f t="shared" si="12"/>
        <v>15</v>
      </c>
      <c r="R8">
        <f t="shared" si="13"/>
        <v>24</v>
      </c>
      <c r="S8" t="str">
        <f t="shared" si="14"/>
        <v>Clothing</v>
      </c>
      <c r="T8" t="str">
        <f t="shared" si="15"/>
        <v>David</v>
      </c>
      <c r="U8" t="str">
        <f t="shared" si="16"/>
        <v>20171011</v>
      </c>
      <c r="V8" t="str">
        <f t="shared" si="17"/>
        <v>811</v>
      </c>
      <c r="W8" s="4">
        <f t="shared" si="18"/>
        <v>43019</v>
      </c>
      <c r="X8" s="5">
        <f t="shared" si="19"/>
        <v>811</v>
      </c>
    </row>
    <row r="9" spans="3:24" x14ac:dyDescent="0.35">
      <c r="C9" s="2">
        <f t="shared" si="0"/>
        <v>8</v>
      </c>
      <c r="D9" t="s">
        <v>7</v>
      </c>
      <c r="E9">
        <f t="shared" si="1"/>
        <v>29</v>
      </c>
      <c r="F9" t="str">
        <f t="shared" si="2"/>
        <v xml:space="preserve">/////PR:Clothing_____SP:David20171029   $1175 </v>
      </c>
      <c r="G9">
        <f t="shared" si="3"/>
        <v>32</v>
      </c>
      <c r="H9" t="str">
        <f t="shared" si="4"/>
        <v>/////PR:Clothing_____SP:David20171029   $1175</v>
      </c>
      <c r="I9">
        <f t="shared" si="5"/>
        <v>53</v>
      </c>
      <c r="J9" t="str">
        <f t="shared" si="6"/>
        <v>PR:Clothing_____SP:David20171029   $1175</v>
      </c>
      <c r="K9" t="str">
        <f t="shared" si="20"/>
        <v>PR:Clothing     SP:David20171029   $1175</v>
      </c>
      <c r="L9" t="str">
        <f t="shared" si="7"/>
        <v>Clothing     SP:David20171029   $1175</v>
      </c>
      <c r="M9" t="str">
        <f t="shared" si="8"/>
        <v>Clothing     David20171029   $1175</v>
      </c>
      <c r="N9" t="str">
        <f t="shared" si="9"/>
        <v>Clothing David20171029 $1175</v>
      </c>
      <c r="O9" t="str">
        <f t="shared" si="10"/>
        <v>Clothing David 20171029 $1175</v>
      </c>
      <c r="P9">
        <f t="shared" si="11"/>
        <v>9</v>
      </c>
      <c r="Q9">
        <f t="shared" si="12"/>
        <v>15</v>
      </c>
      <c r="R9">
        <f t="shared" si="13"/>
        <v>24</v>
      </c>
      <c r="S9" t="str">
        <f t="shared" si="14"/>
        <v>Clothing</v>
      </c>
      <c r="T9" t="str">
        <f t="shared" si="15"/>
        <v>David</v>
      </c>
      <c r="U9" t="str">
        <f t="shared" si="16"/>
        <v>20171029</v>
      </c>
      <c r="V9" t="str">
        <f t="shared" si="17"/>
        <v>1175</v>
      </c>
      <c r="W9" s="4">
        <f t="shared" si="18"/>
        <v>43037</v>
      </c>
      <c r="X9" s="5">
        <f t="shared" si="19"/>
        <v>1175</v>
      </c>
    </row>
    <row r="10" spans="3:24" x14ac:dyDescent="0.35">
      <c r="C10" s="2">
        <f t="shared" si="0"/>
        <v>9</v>
      </c>
      <c r="D10" t="s">
        <v>8</v>
      </c>
      <c r="E10">
        <f t="shared" si="1"/>
        <v>30</v>
      </c>
      <c r="F10" t="str">
        <f t="shared" si="2"/>
        <v xml:space="preserve">////PR:Books____SP:Alice20171013   $586  </v>
      </c>
      <c r="G10">
        <f t="shared" si="3"/>
        <v>32</v>
      </c>
      <c r="H10" t="str">
        <f t="shared" si="4"/>
        <v>////PR:Books____SP:Alice20171013   $586</v>
      </c>
      <c r="I10">
        <f t="shared" si="5"/>
        <v>54</v>
      </c>
      <c r="J10" t="str">
        <f t="shared" si="6"/>
        <v>PR:Books____SP:Alice20171013   $586</v>
      </c>
      <c r="K10" t="str">
        <f t="shared" si="20"/>
        <v>PR:Books    SP:Alice20171013   $586</v>
      </c>
      <c r="L10" t="str">
        <f t="shared" si="7"/>
        <v>Books    SP:Alice20171013   $586</v>
      </c>
      <c r="M10" t="str">
        <f t="shared" si="8"/>
        <v>Books    Alice20171013   $586</v>
      </c>
      <c r="N10" t="str">
        <f t="shared" si="9"/>
        <v>Books Alice20171013 $586</v>
      </c>
      <c r="O10" t="str">
        <f t="shared" si="10"/>
        <v>Books Alice 20171013 $586</v>
      </c>
      <c r="P10">
        <f t="shared" si="11"/>
        <v>6</v>
      </c>
      <c r="Q10">
        <f t="shared" si="12"/>
        <v>12</v>
      </c>
      <c r="R10">
        <f t="shared" si="13"/>
        <v>21</v>
      </c>
      <c r="S10" t="str">
        <f t="shared" si="14"/>
        <v>Books</v>
      </c>
      <c r="T10" t="str">
        <f t="shared" si="15"/>
        <v>Alice</v>
      </c>
      <c r="U10" t="str">
        <f t="shared" si="16"/>
        <v>20171013</v>
      </c>
      <c r="V10" t="str">
        <f t="shared" si="17"/>
        <v>586</v>
      </c>
      <c r="W10" s="4">
        <f t="shared" si="18"/>
        <v>43021</v>
      </c>
      <c r="X10" s="5">
        <f t="shared" si="19"/>
        <v>586</v>
      </c>
    </row>
    <row r="11" spans="3:24" x14ac:dyDescent="0.35">
      <c r="C11" s="2">
        <f t="shared" si="0"/>
        <v>10</v>
      </c>
      <c r="D11" t="s">
        <v>9</v>
      </c>
      <c r="E11">
        <f t="shared" si="1"/>
        <v>29</v>
      </c>
      <c r="F11" t="str">
        <f t="shared" si="2"/>
        <v xml:space="preserve">////PR:Music__SP:David20171015     $1202 </v>
      </c>
      <c r="G11">
        <f t="shared" si="3"/>
        <v>32</v>
      </c>
      <c r="H11" t="str">
        <f t="shared" si="4"/>
        <v>////PR:Music__SP:David20171015     $1202</v>
      </c>
      <c r="I11">
        <f t="shared" si="5"/>
        <v>50</v>
      </c>
      <c r="J11" t="str">
        <f t="shared" si="6"/>
        <v>PR:Music__SP:David20171015     $1202</v>
      </c>
      <c r="K11" t="str">
        <f t="shared" si="20"/>
        <v>PR:Music  SP:David20171015     $1202</v>
      </c>
      <c r="L11" t="str">
        <f t="shared" si="7"/>
        <v>Music  SP:David20171015     $1202</v>
      </c>
      <c r="M11" t="str">
        <f t="shared" si="8"/>
        <v>Music  David20171015     $1202</v>
      </c>
      <c r="N11" t="str">
        <f t="shared" si="9"/>
        <v>Music David20171015 $1202</v>
      </c>
      <c r="O11" t="str">
        <f t="shared" si="10"/>
        <v>Music David 20171015 $1202</v>
      </c>
      <c r="P11">
        <f t="shared" si="11"/>
        <v>6</v>
      </c>
      <c r="Q11">
        <f t="shared" si="12"/>
        <v>12</v>
      </c>
      <c r="R11">
        <f t="shared" si="13"/>
        <v>21</v>
      </c>
      <c r="S11" t="str">
        <f t="shared" si="14"/>
        <v>Music</v>
      </c>
      <c r="T11" t="str">
        <f t="shared" si="15"/>
        <v>David</v>
      </c>
      <c r="U11" t="str">
        <f t="shared" si="16"/>
        <v>20171015</v>
      </c>
      <c r="V11" t="str">
        <f t="shared" si="17"/>
        <v>1202</v>
      </c>
      <c r="W11" s="4">
        <f t="shared" si="18"/>
        <v>43023</v>
      </c>
      <c r="X11" s="5">
        <f t="shared" si="19"/>
        <v>1202</v>
      </c>
    </row>
    <row r="12" spans="3:24" x14ac:dyDescent="0.35">
      <c r="C12" s="2">
        <f t="shared" si="0"/>
        <v>11</v>
      </c>
      <c r="D12" t="s">
        <v>10</v>
      </c>
      <c r="E12">
        <f t="shared" si="1"/>
        <v>30</v>
      </c>
      <c r="F12" t="str">
        <f t="shared" si="2"/>
        <v xml:space="preserve">/////PR:Games___SP:David20171022 $0   </v>
      </c>
      <c r="G12">
        <f t="shared" si="3"/>
        <v>32</v>
      </c>
      <c r="H12" t="str">
        <f t="shared" si="4"/>
        <v>/////PR:Games___SP:David20171022 $0</v>
      </c>
      <c r="I12">
        <f t="shared" si="5"/>
        <v>48</v>
      </c>
      <c r="J12" t="str">
        <f t="shared" si="6"/>
        <v>PR:Games___SP:David20171022 $0</v>
      </c>
      <c r="K12" t="str">
        <f t="shared" si="20"/>
        <v>PR:Games   SP:David20171022 $0</v>
      </c>
      <c r="L12" t="str">
        <f t="shared" si="7"/>
        <v>Games   SP:David20171022 $0</v>
      </c>
      <c r="M12" t="str">
        <f t="shared" si="8"/>
        <v>Games   David20171022 $0</v>
      </c>
      <c r="N12" t="str">
        <f t="shared" si="9"/>
        <v>Games David20171022 $0</v>
      </c>
      <c r="O12" t="str">
        <f t="shared" si="10"/>
        <v>Games David 20171022 $0</v>
      </c>
      <c r="P12">
        <f t="shared" si="11"/>
        <v>6</v>
      </c>
      <c r="Q12">
        <f t="shared" si="12"/>
        <v>12</v>
      </c>
      <c r="R12">
        <f t="shared" si="13"/>
        <v>21</v>
      </c>
      <c r="S12" t="str">
        <f t="shared" si="14"/>
        <v>Games</v>
      </c>
      <c r="T12" t="str">
        <f t="shared" si="15"/>
        <v>David</v>
      </c>
      <c r="U12" t="str">
        <f t="shared" si="16"/>
        <v>20171022</v>
      </c>
      <c r="V12" t="str">
        <f t="shared" si="17"/>
        <v>0</v>
      </c>
      <c r="W12" s="4">
        <f t="shared" si="18"/>
        <v>43030</v>
      </c>
      <c r="X12" s="5">
        <f t="shared" si="19"/>
        <v>0</v>
      </c>
    </row>
    <row r="13" spans="3:24" x14ac:dyDescent="0.35">
      <c r="C13" s="2">
        <f t="shared" si="0"/>
        <v>12</v>
      </c>
      <c r="D13" t="s">
        <v>11</v>
      </c>
      <c r="E13">
        <f t="shared" si="1"/>
        <v>30</v>
      </c>
      <c r="F13" t="str">
        <f t="shared" si="2"/>
        <v xml:space="preserve">/////PR:Books_____SP:Alice2017101     $597   </v>
      </c>
      <c r="G13">
        <f t="shared" si="3"/>
        <v>32</v>
      </c>
      <c r="H13" t="str">
        <f t="shared" si="4"/>
        <v>/////PR:Books_____SP:Alice2017101     $597</v>
      </c>
      <c r="I13">
        <f t="shared" si="5"/>
        <v>55</v>
      </c>
      <c r="J13" t="str">
        <f t="shared" si="6"/>
        <v>PR:Books_____SP:Alice2017101     $597</v>
      </c>
      <c r="K13" t="str">
        <f t="shared" si="20"/>
        <v>PR:Books     SP:Alice2017101     $597</v>
      </c>
      <c r="L13" t="str">
        <f t="shared" si="7"/>
        <v>Books     SP:Alice2017101     $597</v>
      </c>
      <c r="M13" t="str">
        <f t="shared" si="8"/>
        <v>Books     Alice2017101     $597</v>
      </c>
      <c r="N13" t="str">
        <f t="shared" si="9"/>
        <v>Books Alice2017101 $597</v>
      </c>
      <c r="O13" t="str">
        <f t="shared" si="10"/>
        <v>Books Alice 2017101 $597</v>
      </c>
      <c r="P13">
        <f t="shared" si="11"/>
        <v>6</v>
      </c>
      <c r="Q13">
        <f t="shared" si="12"/>
        <v>12</v>
      </c>
      <c r="R13">
        <f t="shared" si="13"/>
        <v>20</v>
      </c>
      <c r="S13" t="str">
        <f t="shared" si="14"/>
        <v>Books</v>
      </c>
      <c r="T13" t="str">
        <f t="shared" si="15"/>
        <v>Alice</v>
      </c>
      <c r="U13" t="str">
        <f t="shared" si="16"/>
        <v>2017101</v>
      </c>
      <c r="V13" t="str">
        <f t="shared" si="17"/>
        <v>597</v>
      </c>
      <c r="W13" s="4">
        <f t="shared" si="18"/>
        <v>43009</v>
      </c>
      <c r="X13" s="5">
        <f t="shared" si="19"/>
        <v>597</v>
      </c>
    </row>
    <row r="14" spans="3:24" x14ac:dyDescent="0.35">
      <c r="C14" s="2">
        <f t="shared" si="0"/>
        <v>13</v>
      </c>
      <c r="D14" t="s">
        <v>12</v>
      </c>
      <c r="E14">
        <f t="shared" si="1"/>
        <v>29</v>
      </c>
      <c r="F14" t="str">
        <f t="shared" si="2"/>
        <v xml:space="preserve">/////PR:Music__SP:Alice20171031   $1142 </v>
      </c>
      <c r="G14">
        <f t="shared" si="3"/>
        <v>32</v>
      </c>
      <c r="H14" t="str">
        <f t="shared" si="4"/>
        <v>/////PR:Music__SP:Alice20171031   $1142</v>
      </c>
      <c r="I14">
        <f t="shared" si="5"/>
        <v>50</v>
      </c>
      <c r="J14" t="str">
        <f t="shared" si="6"/>
        <v>PR:Music__SP:Alice20171031   $1142</v>
      </c>
      <c r="K14" t="str">
        <f t="shared" si="20"/>
        <v>PR:Music  SP:Alice20171031   $1142</v>
      </c>
      <c r="L14" t="str">
        <f t="shared" si="7"/>
        <v>Music  SP:Alice20171031   $1142</v>
      </c>
      <c r="M14" t="str">
        <f t="shared" si="8"/>
        <v>Music  Alice20171031   $1142</v>
      </c>
      <c r="N14" t="str">
        <f t="shared" si="9"/>
        <v>Music Alice20171031 $1142</v>
      </c>
      <c r="O14" t="str">
        <f t="shared" si="10"/>
        <v>Music Alice 20171031 $1142</v>
      </c>
      <c r="P14">
        <f t="shared" si="11"/>
        <v>6</v>
      </c>
      <c r="Q14">
        <f t="shared" si="12"/>
        <v>12</v>
      </c>
      <c r="R14">
        <f t="shared" si="13"/>
        <v>21</v>
      </c>
      <c r="S14" t="str">
        <f t="shared" si="14"/>
        <v>Music</v>
      </c>
      <c r="T14" t="str">
        <f t="shared" si="15"/>
        <v>Alice</v>
      </c>
      <c r="U14" t="str">
        <f t="shared" si="16"/>
        <v>20171031</v>
      </c>
      <c r="V14" t="str">
        <f t="shared" si="17"/>
        <v>1142</v>
      </c>
      <c r="W14" s="4">
        <f t="shared" si="18"/>
        <v>43039</v>
      </c>
      <c r="X14" s="5">
        <f t="shared" si="19"/>
        <v>1142</v>
      </c>
    </row>
    <row r="15" spans="3:24" x14ac:dyDescent="0.35">
      <c r="C15" s="2">
        <f t="shared" si="0"/>
        <v>14</v>
      </c>
      <c r="D15" t="s">
        <v>13</v>
      </c>
      <c r="E15">
        <f t="shared" si="1"/>
        <v>30</v>
      </c>
      <c r="F15" t="str">
        <f t="shared" si="2"/>
        <v xml:space="preserve">/PR:Clothing_SP:Carol20171025   $1213  </v>
      </c>
      <c r="G15">
        <f t="shared" si="3"/>
        <v>32</v>
      </c>
      <c r="H15" t="str">
        <f t="shared" si="4"/>
        <v>/PR:Clothing_SP:Carol20171025   $1213</v>
      </c>
      <c r="I15">
        <f t="shared" si="5"/>
        <v>51</v>
      </c>
      <c r="J15" t="str">
        <f t="shared" si="6"/>
        <v>PR:Clothing_SP:Carol20171025   $1213</v>
      </c>
      <c r="K15" t="str">
        <f t="shared" si="20"/>
        <v>PR:Clothing SP:Carol20171025   $1213</v>
      </c>
      <c r="L15" t="str">
        <f t="shared" si="7"/>
        <v>Clothing SP:Carol20171025   $1213</v>
      </c>
      <c r="M15" t="str">
        <f t="shared" si="8"/>
        <v>Clothing Carol20171025   $1213</v>
      </c>
      <c r="N15" t="str">
        <f t="shared" si="9"/>
        <v>Clothing Carol20171025 $1213</v>
      </c>
      <c r="O15" t="str">
        <f t="shared" si="10"/>
        <v>Clothing Carol 20171025 $1213</v>
      </c>
      <c r="P15">
        <f t="shared" si="11"/>
        <v>9</v>
      </c>
      <c r="Q15">
        <f t="shared" si="12"/>
        <v>15</v>
      </c>
      <c r="R15">
        <f t="shared" si="13"/>
        <v>24</v>
      </c>
      <c r="S15" t="str">
        <f t="shared" si="14"/>
        <v>Clothing</v>
      </c>
      <c r="T15" t="str">
        <f t="shared" si="15"/>
        <v>Carol</v>
      </c>
      <c r="U15" t="str">
        <f t="shared" si="16"/>
        <v>20171025</v>
      </c>
      <c r="V15" t="str">
        <f t="shared" si="17"/>
        <v>1213</v>
      </c>
      <c r="W15" s="4">
        <f t="shared" si="18"/>
        <v>43033</v>
      </c>
      <c r="X15" s="5">
        <f t="shared" si="19"/>
        <v>1213</v>
      </c>
    </row>
    <row r="16" spans="3:24" x14ac:dyDescent="0.35">
      <c r="C16" s="2">
        <f t="shared" si="0"/>
        <v>15</v>
      </c>
      <c r="D16" t="s">
        <v>14</v>
      </c>
      <c r="E16">
        <f t="shared" si="1"/>
        <v>28</v>
      </c>
      <c r="F16" t="str">
        <f t="shared" si="2"/>
        <v xml:space="preserve">/////PR:Games_____SP:Alice20171021 $0     </v>
      </c>
      <c r="G16">
        <f t="shared" si="3"/>
        <v>32</v>
      </c>
      <c r="H16" t="str">
        <f t="shared" si="4"/>
        <v>/////PR:Games_____SP:Alice20171021 $0</v>
      </c>
      <c r="I16">
        <f t="shared" si="5"/>
        <v>48</v>
      </c>
      <c r="J16" t="str">
        <f t="shared" si="6"/>
        <v>PR:Games_____SP:Alice20171021 $0</v>
      </c>
      <c r="K16" t="str">
        <f t="shared" si="20"/>
        <v>PR:Games     SP:Alice20171021 $0</v>
      </c>
      <c r="L16" t="str">
        <f t="shared" si="7"/>
        <v>Games     SP:Alice20171021 $0</v>
      </c>
      <c r="M16" t="str">
        <f t="shared" si="8"/>
        <v>Games     Alice20171021 $0</v>
      </c>
      <c r="N16" t="str">
        <f t="shared" si="9"/>
        <v>Games Alice20171021 $0</v>
      </c>
      <c r="O16" t="str">
        <f t="shared" si="10"/>
        <v>Games Alice 20171021 $0</v>
      </c>
      <c r="P16">
        <f t="shared" si="11"/>
        <v>6</v>
      </c>
      <c r="Q16">
        <f t="shared" si="12"/>
        <v>12</v>
      </c>
      <c r="R16">
        <f t="shared" si="13"/>
        <v>21</v>
      </c>
      <c r="S16" t="str">
        <f t="shared" si="14"/>
        <v>Games</v>
      </c>
      <c r="T16" t="str">
        <f t="shared" si="15"/>
        <v>Alice</v>
      </c>
      <c r="U16" t="str">
        <f t="shared" si="16"/>
        <v>20171021</v>
      </c>
      <c r="V16" t="str">
        <f t="shared" si="17"/>
        <v>0</v>
      </c>
      <c r="W16" s="4">
        <f t="shared" si="18"/>
        <v>43029</v>
      </c>
      <c r="X16" s="5">
        <f t="shared" si="19"/>
        <v>0</v>
      </c>
    </row>
    <row r="17" spans="3:24" x14ac:dyDescent="0.35">
      <c r="C17" s="2">
        <f t="shared" si="0"/>
        <v>16</v>
      </c>
      <c r="D17" t="s">
        <v>15</v>
      </c>
      <c r="E17">
        <f t="shared" si="1"/>
        <v>31</v>
      </c>
      <c r="F17" t="str">
        <f t="shared" si="2"/>
        <v xml:space="preserve">///PR:Clothing_SP:David20171013   $0    </v>
      </c>
      <c r="G17">
        <f t="shared" si="3"/>
        <v>32</v>
      </c>
      <c r="H17" t="str">
        <f t="shared" si="4"/>
        <v>///PR:Clothing_SP:David20171013   $0</v>
      </c>
      <c r="I17">
        <f t="shared" si="5"/>
        <v>48</v>
      </c>
      <c r="J17" t="str">
        <f t="shared" si="6"/>
        <v>PR:Clothing_SP:David20171013   $0</v>
      </c>
      <c r="K17" t="str">
        <f t="shared" si="20"/>
        <v>PR:Clothing SP:David20171013   $0</v>
      </c>
      <c r="L17" t="str">
        <f t="shared" si="7"/>
        <v>Clothing SP:David20171013   $0</v>
      </c>
      <c r="M17" t="str">
        <f t="shared" si="8"/>
        <v>Clothing David20171013   $0</v>
      </c>
      <c r="N17" t="str">
        <f t="shared" si="9"/>
        <v>Clothing David20171013 $0</v>
      </c>
      <c r="O17" t="str">
        <f t="shared" si="10"/>
        <v>Clothing David 20171013 $0</v>
      </c>
      <c r="P17">
        <f t="shared" si="11"/>
        <v>9</v>
      </c>
      <c r="Q17">
        <f t="shared" si="12"/>
        <v>15</v>
      </c>
      <c r="R17">
        <f t="shared" si="13"/>
        <v>24</v>
      </c>
      <c r="S17" t="str">
        <f t="shared" si="14"/>
        <v>Clothing</v>
      </c>
      <c r="T17" t="str">
        <f t="shared" si="15"/>
        <v>David</v>
      </c>
      <c r="U17" t="str">
        <f t="shared" si="16"/>
        <v>20171013</v>
      </c>
      <c r="V17" t="str">
        <f t="shared" si="17"/>
        <v>0</v>
      </c>
      <c r="W17" s="4">
        <f t="shared" si="18"/>
        <v>43021</v>
      </c>
      <c r="X17" s="5">
        <f t="shared" si="19"/>
        <v>0</v>
      </c>
    </row>
    <row r="18" spans="3:24" x14ac:dyDescent="0.35">
      <c r="C18" s="2">
        <f t="shared" si="0"/>
        <v>17</v>
      </c>
      <c r="D18" t="s">
        <v>16</v>
      </c>
      <c r="E18">
        <f t="shared" si="1"/>
        <v>28</v>
      </c>
      <c r="F18" t="str">
        <f t="shared" si="2"/>
        <v xml:space="preserve">/////PR:Books_SP:Carol2017103  $721    </v>
      </c>
      <c r="G18">
        <f t="shared" si="3"/>
        <v>32</v>
      </c>
      <c r="H18" t="str">
        <f t="shared" si="4"/>
        <v>/////PR:Books_SP:Carol2017103  $721</v>
      </c>
      <c r="I18">
        <f t="shared" si="5"/>
        <v>49</v>
      </c>
      <c r="J18" t="str">
        <f t="shared" si="6"/>
        <v>PR:Books_SP:Carol2017103  $721</v>
      </c>
      <c r="K18" t="str">
        <f t="shared" si="20"/>
        <v>PR:Books SP:Carol2017103  $721</v>
      </c>
      <c r="L18" t="str">
        <f t="shared" si="7"/>
        <v>Books SP:Carol2017103  $721</v>
      </c>
      <c r="M18" t="str">
        <f t="shared" si="8"/>
        <v>Books Carol2017103  $721</v>
      </c>
      <c r="N18" t="str">
        <f t="shared" si="9"/>
        <v>Books Carol2017103 $721</v>
      </c>
      <c r="O18" t="str">
        <f t="shared" si="10"/>
        <v>Books Carol 2017103 $721</v>
      </c>
      <c r="P18">
        <f t="shared" si="11"/>
        <v>6</v>
      </c>
      <c r="Q18">
        <f t="shared" si="12"/>
        <v>12</v>
      </c>
      <c r="R18">
        <f t="shared" si="13"/>
        <v>20</v>
      </c>
      <c r="S18" t="str">
        <f t="shared" si="14"/>
        <v>Books</v>
      </c>
      <c r="T18" t="str">
        <f t="shared" si="15"/>
        <v>Carol</v>
      </c>
      <c r="U18" t="str">
        <f t="shared" si="16"/>
        <v>2017103</v>
      </c>
      <c r="V18" t="str">
        <f t="shared" si="17"/>
        <v>721</v>
      </c>
      <c r="W18" s="4">
        <f t="shared" si="18"/>
        <v>43011</v>
      </c>
      <c r="X18" s="5">
        <f t="shared" si="19"/>
        <v>721</v>
      </c>
    </row>
    <row r="19" spans="3:24" x14ac:dyDescent="0.35">
      <c r="C19" s="2">
        <f t="shared" si="0"/>
        <v>18</v>
      </c>
      <c r="D19" t="s">
        <v>17</v>
      </c>
      <c r="E19">
        <f t="shared" si="1"/>
        <v>30</v>
      </c>
      <c r="F19" t="str">
        <f t="shared" si="2"/>
        <v xml:space="preserve">////PR:Clothing__SP:Carol20171026   $0 </v>
      </c>
      <c r="G19">
        <f t="shared" si="3"/>
        <v>32</v>
      </c>
      <c r="H19" t="str">
        <f t="shared" si="4"/>
        <v>////PR:Clothing__SP:Carol20171026   $0</v>
      </c>
      <c r="I19">
        <f t="shared" si="5"/>
        <v>48</v>
      </c>
      <c r="J19" t="str">
        <f t="shared" si="6"/>
        <v>PR:Clothing__SP:Carol20171026   $0</v>
      </c>
      <c r="K19" t="str">
        <f t="shared" si="20"/>
        <v>PR:Clothing  SP:Carol20171026   $0</v>
      </c>
      <c r="L19" t="str">
        <f t="shared" si="7"/>
        <v>Clothing  SP:Carol20171026   $0</v>
      </c>
      <c r="M19" t="str">
        <f t="shared" si="8"/>
        <v>Clothing  Carol20171026   $0</v>
      </c>
      <c r="N19" t="str">
        <f t="shared" si="9"/>
        <v>Clothing Carol20171026 $0</v>
      </c>
      <c r="O19" t="str">
        <f t="shared" si="10"/>
        <v>Clothing Carol 20171026 $0</v>
      </c>
      <c r="P19">
        <f t="shared" si="11"/>
        <v>9</v>
      </c>
      <c r="Q19">
        <f t="shared" si="12"/>
        <v>15</v>
      </c>
      <c r="R19">
        <f t="shared" si="13"/>
        <v>24</v>
      </c>
      <c r="S19" t="str">
        <f t="shared" si="14"/>
        <v>Clothing</v>
      </c>
      <c r="T19" t="str">
        <f t="shared" si="15"/>
        <v>Carol</v>
      </c>
      <c r="U19" t="str">
        <f t="shared" si="16"/>
        <v>20171026</v>
      </c>
      <c r="V19" t="str">
        <f t="shared" si="17"/>
        <v>0</v>
      </c>
      <c r="W19" s="4">
        <f t="shared" si="18"/>
        <v>43034</v>
      </c>
      <c r="X19" s="5">
        <f t="shared" si="19"/>
        <v>0</v>
      </c>
    </row>
    <row r="20" spans="3:24" x14ac:dyDescent="0.35">
      <c r="C20" s="2">
        <f t="shared" si="0"/>
        <v>19</v>
      </c>
      <c r="D20" t="s">
        <v>18</v>
      </c>
      <c r="E20">
        <f t="shared" si="1"/>
        <v>31</v>
      </c>
      <c r="F20" t="str">
        <f t="shared" si="2"/>
        <v xml:space="preserve">////PR:Clothing___SP:Barney20171016    $945 </v>
      </c>
      <c r="G20">
        <f t="shared" si="3"/>
        <v>32</v>
      </c>
      <c r="H20" t="str">
        <f t="shared" si="4"/>
        <v>////PR:Clothing___SP:Barney20171016    $945</v>
      </c>
      <c r="I20">
        <f t="shared" si="5"/>
        <v>53</v>
      </c>
      <c r="J20" t="str">
        <f t="shared" si="6"/>
        <v>PR:Clothing___SP:Barney20171016    $945</v>
      </c>
      <c r="K20" t="str">
        <f t="shared" si="20"/>
        <v>PR:Clothing   SP:Barney20171016    $945</v>
      </c>
      <c r="L20" t="str">
        <f t="shared" si="7"/>
        <v>Clothing   SP:Barney20171016    $945</v>
      </c>
      <c r="M20" t="str">
        <f t="shared" si="8"/>
        <v>Clothing   Barney20171016    $945</v>
      </c>
      <c r="N20" t="str">
        <f t="shared" si="9"/>
        <v>Clothing Barney20171016 $945</v>
      </c>
      <c r="O20" t="str">
        <f t="shared" si="10"/>
        <v>Clothing Barney 20171016 $945</v>
      </c>
      <c r="P20">
        <f t="shared" si="11"/>
        <v>9</v>
      </c>
      <c r="Q20">
        <f t="shared" si="12"/>
        <v>16</v>
      </c>
      <c r="R20">
        <f t="shared" si="13"/>
        <v>25</v>
      </c>
      <c r="S20" t="str">
        <f t="shared" si="14"/>
        <v>Clothing</v>
      </c>
      <c r="T20" t="str">
        <f t="shared" si="15"/>
        <v>Barney</v>
      </c>
      <c r="U20" t="str">
        <f t="shared" si="16"/>
        <v>20171016</v>
      </c>
      <c r="V20" t="str">
        <f t="shared" si="17"/>
        <v>945</v>
      </c>
      <c r="W20" s="4">
        <f t="shared" si="18"/>
        <v>43024</v>
      </c>
      <c r="X20" s="5">
        <f t="shared" si="19"/>
        <v>945</v>
      </c>
    </row>
    <row r="21" spans="3:24" x14ac:dyDescent="0.35">
      <c r="C21" s="2">
        <f t="shared" si="0"/>
        <v>20</v>
      </c>
      <c r="D21" t="s">
        <v>19</v>
      </c>
      <c r="E21">
        <f t="shared" si="1"/>
        <v>28</v>
      </c>
      <c r="F21" t="str">
        <f t="shared" si="2"/>
        <v xml:space="preserve">//PR:Clothing__SP:Barney20171025 $801  </v>
      </c>
      <c r="G21">
        <f t="shared" si="3"/>
        <v>32</v>
      </c>
      <c r="H21" t="str">
        <f t="shared" si="4"/>
        <v>//PR:Clothing__SP:Barney20171025 $801</v>
      </c>
      <c r="I21">
        <f t="shared" si="5"/>
        <v>49</v>
      </c>
      <c r="J21" t="str">
        <f t="shared" si="6"/>
        <v>PR:Clothing__SP:Barney20171025 $801</v>
      </c>
      <c r="K21" t="str">
        <f t="shared" si="20"/>
        <v>PR:Clothing  SP:Barney20171025 $801</v>
      </c>
      <c r="L21" t="str">
        <f t="shared" si="7"/>
        <v>Clothing  SP:Barney20171025 $801</v>
      </c>
      <c r="M21" t="str">
        <f t="shared" si="8"/>
        <v>Clothing  Barney20171025 $801</v>
      </c>
      <c r="N21" t="str">
        <f t="shared" si="9"/>
        <v>Clothing Barney20171025 $801</v>
      </c>
      <c r="O21" t="str">
        <f t="shared" si="10"/>
        <v>Clothing Barney 20171025 $801</v>
      </c>
      <c r="P21">
        <f t="shared" si="11"/>
        <v>9</v>
      </c>
      <c r="Q21">
        <f t="shared" si="12"/>
        <v>16</v>
      </c>
      <c r="R21">
        <f t="shared" si="13"/>
        <v>25</v>
      </c>
      <c r="S21" t="str">
        <f t="shared" si="14"/>
        <v>Clothing</v>
      </c>
      <c r="T21" t="str">
        <f t="shared" si="15"/>
        <v>Barney</v>
      </c>
      <c r="U21" t="str">
        <f t="shared" si="16"/>
        <v>20171025</v>
      </c>
      <c r="V21" t="str">
        <f t="shared" si="17"/>
        <v>801</v>
      </c>
      <c r="W21" s="4">
        <f t="shared" si="18"/>
        <v>43033</v>
      </c>
      <c r="X21" s="5">
        <f t="shared" si="19"/>
        <v>801</v>
      </c>
    </row>
    <row r="22" spans="3:24" x14ac:dyDescent="0.35">
      <c r="C22" s="2">
        <f t="shared" si="0"/>
        <v>21</v>
      </c>
      <c r="D22" t="s">
        <v>20</v>
      </c>
      <c r="E22">
        <f t="shared" si="1"/>
        <v>29</v>
      </c>
      <c r="F22" t="str">
        <f t="shared" si="2"/>
        <v xml:space="preserve">/////PR:Books_SP:David2017109     $866    </v>
      </c>
      <c r="G22">
        <f t="shared" si="3"/>
        <v>32</v>
      </c>
      <c r="H22" t="str">
        <f t="shared" si="4"/>
        <v>/////PR:Books_SP:David2017109     $866</v>
      </c>
      <c r="I22">
        <f t="shared" si="5"/>
        <v>54</v>
      </c>
      <c r="J22" t="str">
        <f t="shared" si="6"/>
        <v>PR:Books_SP:David2017109     $866</v>
      </c>
      <c r="K22" t="str">
        <f t="shared" si="20"/>
        <v>PR:Books SP:David2017109     $866</v>
      </c>
      <c r="L22" t="str">
        <f t="shared" si="7"/>
        <v>Books SP:David2017109     $866</v>
      </c>
      <c r="M22" t="str">
        <f t="shared" si="8"/>
        <v>Books David2017109     $866</v>
      </c>
      <c r="N22" t="str">
        <f t="shared" si="9"/>
        <v>Books David2017109 $866</v>
      </c>
      <c r="O22" t="str">
        <f t="shared" si="10"/>
        <v>Books David 2017109 $866</v>
      </c>
      <c r="P22">
        <f t="shared" si="11"/>
        <v>6</v>
      </c>
      <c r="Q22">
        <f t="shared" si="12"/>
        <v>12</v>
      </c>
      <c r="R22">
        <f t="shared" si="13"/>
        <v>20</v>
      </c>
      <c r="S22" t="str">
        <f t="shared" si="14"/>
        <v>Books</v>
      </c>
      <c r="T22" t="str">
        <f t="shared" si="15"/>
        <v>David</v>
      </c>
      <c r="U22" t="str">
        <f t="shared" si="16"/>
        <v>2017109</v>
      </c>
      <c r="V22" t="str">
        <f t="shared" si="17"/>
        <v>866</v>
      </c>
      <c r="W22" s="4">
        <f t="shared" si="18"/>
        <v>43017</v>
      </c>
      <c r="X22" s="5">
        <f t="shared" si="19"/>
        <v>866</v>
      </c>
    </row>
    <row r="23" spans="3:24" x14ac:dyDescent="0.35">
      <c r="C23" s="2">
        <f t="shared" si="0"/>
        <v>22</v>
      </c>
      <c r="D23" t="s">
        <v>21</v>
      </c>
      <c r="E23">
        <f t="shared" si="1"/>
        <v>29</v>
      </c>
      <c r="F23" t="str">
        <f t="shared" si="2"/>
        <v xml:space="preserve">/////PR:Books__SP:David20171017  $0  </v>
      </c>
      <c r="G23">
        <f t="shared" si="3"/>
        <v>32</v>
      </c>
      <c r="H23" t="str">
        <f t="shared" si="4"/>
        <v>/////PR:Books__SP:David20171017  $0</v>
      </c>
      <c r="I23">
        <f t="shared" si="5"/>
        <v>48</v>
      </c>
      <c r="J23" t="str">
        <f t="shared" si="6"/>
        <v>PR:Books__SP:David20171017  $0</v>
      </c>
      <c r="K23" t="str">
        <f t="shared" si="20"/>
        <v>PR:Books  SP:David20171017  $0</v>
      </c>
      <c r="L23" t="str">
        <f t="shared" si="7"/>
        <v>Books  SP:David20171017  $0</v>
      </c>
      <c r="M23" t="str">
        <f t="shared" si="8"/>
        <v>Books  David20171017  $0</v>
      </c>
      <c r="N23" t="str">
        <f t="shared" si="9"/>
        <v>Books David20171017 $0</v>
      </c>
      <c r="O23" t="str">
        <f t="shared" si="10"/>
        <v>Books David 20171017 $0</v>
      </c>
      <c r="P23">
        <f t="shared" si="11"/>
        <v>6</v>
      </c>
      <c r="Q23">
        <f t="shared" si="12"/>
        <v>12</v>
      </c>
      <c r="R23">
        <f t="shared" si="13"/>
        <v>21</v>
      </c>
      <c r="S23" t="str">
        <f t="shared" si="14"/>
        <v>Books</v>
      </c>
      <c r="T23" t="str">
        <f t="shared" si="15"/>
        <v>David</v>
      </c>
      <c r="U23" t="str">
        <f t="shared" si="16"/>
        <v>20171017</v>
      </c>
      <c r="V23" t="str">
        <f t="shared" si="17"/>
        <v>0</v>
      </c>
      <c r="W23" s="4">
        <f t="shared" si="18"/>
        <v>43025</v>
      </c>
      <c r="X23" s="5">
        <f t="shared" si="19"/>
        <v>0</v>
      </c>
    </row>
    <row r="24" spans="3:24" x14ac:dyDescent="0.35">
      <c r="C24" s="2">
        <f t="shared" si="0"/>
        <v>23</v>
      </c>
      <c r="D24" t="s">
        <v>22</v>
      </c>
      <c r="E24">
        <f t="shared" si="1"/>
        <v>31</v>
      </c>
      <c r="F24" t="str">
        <f t="shared" si="2"/>
        <v xml:space="preserve">/PR:Clothing___SP:David2017104  $1574    </v>
      </c>
      <c r="G24">
        <f t="shared" si="3"/>
        <v>32</v>
      </c>
      <c r="H24" t="str">
        <f t="shared" si="4"/>
        <v>/PR:Clothing___SP:David2017104  $1574</v>
      </c>
      <c r="I24">
        <f t="shared" si="5"/>
        <v>52</v>
      </c>
      <c r="J24" t="str">
        <f t="shared" si="6"/>
        <v>PR:Clothing___SP:David2017104  $1574</v>
      </c>
      <c r="K24" t="str">
        <f t="shared" si="20"/>
        <v>PR:Clothing   SP:David2017104  $1574</v>
      </c>
      <c r="L24" t="str">
        <f t="shared" si="7"/>
        <v>Clothing   SP:David2017104  $1574</v>
      </c>
      <c r="M24" t="str">
        <f t="shared" si="8"/>
        <v>Clothing   David2017104  $1574</v>
      </c>
      <c r="N24" t="str">
        <f t="shared" si="9"/>
        <v>Clothing David2017104 $1574</v>
      </c>
      <c r="O24" t="str">
        <f t="shared" si="10"/>
        <v>Clothing David 2017104 $1574</v>
      </c>
      <c r="P24">
        <f t="shared" si="11"/>
        <v>9</v>
      </c>
      <c r="Q24">
        <f t="shared" si="12"/>
        <v>15</v>
      </c>
      <c r="R24">
        <f t="shared" si="13"/>
        <v>23</v>
      </c>
      <c r="S24" t="str">
        <f t="shared" si="14"/>
        <v>Clothing</v>
      </c>
      <c r="T24" t="str">
        <f t="shared" si="15"/>
        <v>David</v>
      </c>
      <c r="U24" t="str">
        <f t="shared" si="16"/>
        <v>2017104</v>
      </c>
      <c r="V24" t="str">
        <f t="shared" si="17"/>
        <v>1574</v>
      </c>
      <c r="W24" s="4">
        <f t="shared" si="18"/>
        <v>43012</v>
      </c>
      <c r="X24" s="5">
        <f t="shared" si="19"/>
        <v>1574</v>
      </c>
    </row>
    <row r="25" spans="3:24" x14ac:dyDescent="0.35">
      <c r="C25" s="2">
        <f t="shared" si="0"/>
        <v>24</v>
      </c>
      <c r="D25" t="s">
        <v>23</v>
      </c>
      <c r="E25">
        <f t="shared" si="1"/>
        <v>31</v>
      </c>
      <c r="F25" t="str">
        <f t="shared" si="2"/>
        <v xml:space="preserve">////PR:Music__SP:Barney2017108 $0 </v>
      </c>
      <c r="G25">
        <f t="shared" si="3"/>
        <v>32</v>
      </c>
      <c r="H25" t="str">
        <f t="shared" si="4"/>
        <v>////PR:Music__SP:Barney2017108 $0</v>
      </c>
      <c r="I25">
        <f t="shared" si="5"/>
        <v>48</v>
      </c>
      <c r="J25" t="str">
        <f t="shared" si="6"/>
        <v>PR:Music__SP:Barney2017108 $0</v>
      </c>
      <c r="K25" t="str">
        <f t="shared" si="20"/>
        <v>PR:Music  SP:Barney2017108 $0</v>
      </c>
      <c r="L25" t="str">
        <f t="shared" si="7"/>
        <v>Music  SP:Barney2017108 $0</v>
      </c>
      <c r="M25" t="str">
        <f t="shared" si="8"/>
        <v>Music  Barney2017108 $0</v>
      </c>
      <c r="N25" t="str">
        <f t="shared" si="9"/>
        <v>Music Barney2017108 $0</v>
      </c>
      <c r="O25" t="str">
        <f t="shared" si="10"/>
        <v>Music Barney 2017108 $0</v>
      </c>
      <c r="P25">
        <f t="shared" si="11"/>
        <v>6</v>
      </c>
      <c r="Q25">
        <f t="shared" si="12"/>
        <v>13</v>
      </c>
      <c r="R25">
        <f t="shared" si="13"/>
        <v>21</v>
      </c>
      <c r="S25" t="str">
        <f t="shared" si="14"/>
        <v>Music</v>
      </c>
      <c r="T25" t="str">
        <f t="shared" si="15"/>
        <v>Barney</v>
      </c>
      <c r="U25" t="str">
        <f t="shared" si="16"/>
        <v>2017108</v>
      </c>
      <c r="V25" t="str">
        <f t="shared" si="17"/>
        <v>0</v>
      </c>
      <c r="W25" s="4">
        <f t="shared" si="18"/>
        <v>43016</v>
      </c>
      <c r="X25" s="5">
        <f t="shared" si="19"/>
        <v>0</v>
      </c>
    </row>
    <row r="26" spans="3:24" x14ac:dyDescent="0.35">
      <c r="C26" s="2">
        <f t="shared" si="0"/>
        <v>25</v>
      </c>
      <c r="D26" t="s">
        <v>24</v>
      </c>
      <c r="E26">
        <f t="shared" si="1"/>
        <v>30</v>
      </c>
      <c r="F26" t="str">
        <f t="shared" si="2"/>
        <v xml:space="preserve">///PR:Books___SP:Carol20171023 $0   </v>
      </c>
      <c r="G26">
        <f t="shared" si="3"/>
        <v>32</v>
      </c>
      <c r="H26" t="str">
        <f t="shared" si="4"/>
        <v>///PR:Books___SP:Carol20171023 $0</v>
      </c>
      <c r="I26">
        <f t="shared" si="5"/>
        <v>48</v>
      </c>
      <c r="J26" t="str">
        <f t="shared" si="6"/>
        <v>PR:Books___SP:Carol20171023 $0</v>
      </c>
      <c r="K26" t="str">
        <f t="shared" si="20"/>
        <v>PR:Books   SP:Carol20171023 $0</v>
      </c>
      <c r="L26" t="str">
        <f t="shared" si="7"/>
        <v>Books   SP:Carol20171023 $0</v>
      </c>
      <c r="M26" t="str">
        <f t="shared" si="8"/>
        <v>Books   Carol20171023 $0</v>
      </c>
      <c r="N26" t="str">
        <f t="shared" si="9"/>
        <v>Books Carol20171023 $0</v>
      </c>
      <c r="O26" t="str">
        <f t="shared" si="10"/>
        <v>Books Carol 20171023 $0</v>
      </c>
      <c r="P26">
        <f t="shared" si="11"/>
        <v>6</v>
      </c>
      <c r="Q26">
        <f t="shared" si="12"/>
        <v>12</v>
      </c>
      <c r="R26">
        <f t="shared" si="13"/>
        <v>21</v>
      </c>
      <c r="S26" t="str">
        <f t="shared" si="14"/>
        <v>Books</v>
      </c>
      <c r="T26" t="str">
        <f t="shared" si="15"/>
        <v>Carol</v>
      </c>
      <c r="U26" t="str">
        <f t="shared" si="16"/>
        <v>20171023</v>
      </c>
      <c r="V26" t="str">
        <f t="shared" si="17"/>
        <v>0</v>
      </c>
      <c r="W26" s="4">
        <f t="shared" si="18"/>
        <v>43031</v>
      </c>
      <c r="X26" s="5">
        <f t="shared" si="19"/>
        <v>0</v>
      </c>
    </row>
    <row r="27" spans="3:24" x14ac:dyDescent="0.35">
      <c r="C27" s="2">
        <f t="shared" si="0"/>
        <v>26</v>
      </c>
      <c r="D27" t="s">
        <v>25</v>
      </c>
      <c r="E27">
        <f t="shared" si="1"/>
        <v>28</v>
      </c>
      <c r="F27" t="str">
        <f t="shared" si="2"/>
        <v xml:space="preserve">//PR:Games__SP:Alice20171011 $1326  </v>
      </c>
      <c r="G27">
        <f t="shared" si="3"/>
        <v>32</v>
      </c>
      <c r="H27" t="str">
        <f t="shared" si="4"/>
        <v>//PR:Games__SP:Alice20171011 $1326</v>
      </c>
      <c r="I27">
        <f t="shared" si="5"/>
        <v>54</v>
      </c>
      <c r="J27" t="str">
        <f t="shared" si="6"/>
        <v>PR:Games__SP:Alice20171011 $1326</v>
      </c>
      <c r="K27" t="str">
        <f t="shared" si="20"/>
        <v>PR:Games  SP:Alice20171011 $1326</v>
      </c>
      <c r="L27" t="str">
        <f t="shared" si="7"/>
        <v>Games  SP:Alice20171011 $1326</v>
      </c>
      <c r="M27" t="str">
        <f t="shared" si="8"/>
        <v>Games  Alice20171011 $1326</v>
      </c>
      <c r="N27" t="str">
        <f t="shared" si="9"/>
        <v>Games Alice20171011 $1326</v>
      </c>
      <c r="O27" t="str">
        <f t="shared" si="10"/>
        <v>Games Alice 20171011 $1326</v>
      </c>
      <c r="P27">
        <f t="shared" si="11"/>
        <v>6</v>
      </c>
      <c r="Q27">
        <f t="shared" si="12"/>
        <v>12</v>
      </c>
      <c r="R27">
        <f t="shared" si="13"/>
        <v>21</v>
      </c>
      <c r="S27" t="str">
        <f t="shared" si="14"/>
        <v>Games</v>
      </c>
      <c r="T27" t="str">
        <f t="shared" si="15"/>
        <v>Alice</v>
      </c>
      <c r="U27" t="str">
        <f t="shared" si="16"/>
        <v>20171011</v>
      </c>
      <c r="V27" t="str">
        <f t="shared" si="17"/>
        <v>1326</v>
      </c>
      <c r="W27" s="4">
        <f t="shared" si="18"/>
        <v>43019</v>
      </c>
      <c r="X27" s="5">
        <f t="shared" si="19"/>
        <v>1326</v>
      </c>
    </row>
    <row r="28" spans="3:24" x14ac:dyDescent="0.35">
      <c r="C28" s="2">
        <f t="shared" si="0"/>
        <v>27</v>
      </c>
      <c r="D28" t="s">
        <v>26</v>
      </c>
      <c r="E28">
        <f t="shared" si="1"/>
        <v>30</v>
      </c>
      <c r="F28" t="str">
        <f t="shared" si="2"/>
        <v xml:space="preserve">/////PR:Clothing_SP:David20171026  $1044 </v>
      </c>
      <c r="G28">
        <f t="shared" si="3"/>
        <v>32</v>
      </c>
      <c r="H28" t="str">
        <f t="shared" si="4"/>
        <v>/////PR:Clothing_SP:David20171026  $1044</v>
      </c>
      <c r="I28">
        <f t="shared" si="5"/>
        <v>52</v>
      </c>
      <c r="J28" t="str">
        <f t="shared" si="6"/>
        <v>PR:Clothing_SP:David20171026  $1044</v>
      </c>
      <c r="K28" t="str">
        <f t="shared" si="20"/>
        <v>PR:Clothing SP:David20171026  $1044</v>
      </c>
      <c r="L28" t="str">
        <f t="shared" si="7"/>
        <v>Clothing SP:David20171026  $1044</v>
      </c>
      <c r="M28" t="str">
        <f t="shared" si="8"/>
        <v>Clothing David20171026  $1044</v>
      </c>
      <c r="N28" t="str">
        <f t="shared" si="9"/>
        <v>Clothing David20171026 $1044</v>
      </c>
      <c r="O28" t="str">
        <f t="shared" si="10"/>
        <v>Clothing David 20171026 $1044</v>
      </c>
      <c r="P28">
        <f t="shared" si="11"/>
        <v>9</v>
      </c>
      <c r="Q28">
        <f t="shared" si="12"/>
        <v>15</v>
      </c>
      <c r="R28">
        <f t="shared" si="13"/>
        <v>24</v>
      </c>
      <c r="S28" t="str">
        <f t="shared" si="14"/>
        <v>Clothing</v>
      </c>
      <c r="T28" t="str">
        <f t="shared" si="15"/>
        <v>David</v>
      </c>
      <c r="U28" t="str">
        <f t="shared" si="16"/>
        <v>20171026</v>
      </c>
      <c r="V28" t="str">
        <f t="shared" si="17"/>
        <v>1044</v>
      </c>
      <c r="W28" s="4">
        <f t="shared" si="18"/>
        <v>43034</v>
      </c>
      <c r="X28" s="5">
        <f t="shared" si="19"/>
        <v>1044</v>
      </c>
    </row>
    <row r="29" spans="3:24" x14ac:dyDescent="0.35">
      <c r="C29" s="2">
        <f t="shared" si="0"/>
        <v>28</v>
      </c>
      <c r="D29" t="s">
        <v>27</v>
      </c>
      <c r="E29">
        <f t="shared" si="1"/>
        <v>29</v>
      </c>
      <c r="F29" t="str">
        <f t="shared" si="2"/>
        <v xml:space="preserve">//PR:Books_SP:Carol2017102  $0  </v>
      </c>
      <c r="G29">
        <f t="shared" si="3"/>
        <v>32</v>
      </c>
      <c r="H29" t="str">
        <f t="shared" si="4"/>
        <v>//PR:Books_SP:Carol2017102  $0</v>
      </c>
      <c r="I29">
        <f t="shared" si="5"/>
        <v>48</v>
      </c>
      <c r="J29" t="str">
        <f t="shared" si="6"/>
        <v>PR:Books_SP:Carol2017102  $0</v>
      </c>
      <c r="K29" t="str">
        <f t="shared" si="20"/>
        <v>PR:Books SP:Carol2017102  $0</v>
      </c>
      <c r="L29" t="str">
        <f t="shared" si="7"/>
        <v>Books SP:Carol2017102  $0</v>
      </c>
      <c r="M29" t="str">
        <f t="shared" si="8"/>
        <v>Books Carol2017102  $0</v>
      </c>
      <c r="N29" t="str">
        <f t="shared" si="9"/>
        <v>Books Carol2017102 $0</v>
      </c>
      <c r="O29" t="str">
        <f t="shared" si="10"/>
        <v>Books Carol 2017102 $0</v>
      </c>
      <c r="P29">
        <f t="shared" si="11"/>
        <v>6</v>
      </c>
      <c r="Q29">
        <f t="shared" si="12"/>
        <v>12</v>
      </c>
      <c r="R29">
        <f t="shared" si="13"/>
        <v>20</v>
      </c>
      <c r="S29" t="str">
        <f t="shared" si="14"/>
        <v>Books</v>
      </c>
      <c r="T29" t="str">
        <f t="shared" si="15"/>
        <v>Carol</v>
      </c>
      <c r="U29" t="str">
        <f t="shared" si="16"/>
        <v>2017102</v>
      </c>
      <c r="V29" t="str">
        <f t="shared" si="17"/>
        <v>0</v>
      </c>
      <c r="W29" s="4">
        <f t="shared" si="18"/>
        <v>43010</v>
      </c>
      <c r="X29" s="5">
        <f t="shared" si="19"/>
        <v>0</v>
      </c>
    </row>
    <row r="30" spans="3:24" x14ac:dyDescent="0.35">
      <c r="C30" s="2">
        <f t="shared" si="0"/>
        <v>29</v>
      </c>
      <c r="D30" t="s">
        <v>28</v>
      </c>
      <c r="E30">
        <f t="shared" si="1"/>
        <v>29</v>
      </c>
      <c r="F30" t="str">
        <f t="shared" si="2"/>
        <v xml:space="preserve">/PR:Books_____SP:Carol2017104 $718    </v>
      </c>
      <c r="G30">
        <f t="shared" si="3"/>
        <v>32</v>
      </c>
      <c r="H30" t="str">
        <f t="shared" si="4"/>
        <v>/PR:Books_____SP:Carol2017104 $718</v>
      </c>
      <c r="I30">
        <f t="shared" si="5"/>
        <v>56</v>
      </c>
      <c r="J30" t="str">
        <f t="shared" si="6"/>
        <v>PR:Books_____SP:Carol2017104 $718</v>
      </c>
      <c r="K30" t="str">
        <f t="shared" si="20"/>
        <v>PR:Books     SP:Carol2017104 $718</v>
      </c>
      <c r="L30" t="str">
        <f t="shared" si="7"/>
        <v>Books     SP:Carol2017104 $718</v>
      </c>
      <c r="M30" t="str">
        <f t="shared" si="8"/>
        <v>Books     Carol2017104 $718</v>
      </c>
      <c r="N30" t="str">
        <f t="shared" si="9"/>
        <v>Books Carol2017104 $718</v>
      </c>
      <c r="O30" t="str">
        <f t="shared" si="10"/>
        <v>Books Carol 2017104 $718</v>
      </c>
      <c r="P30">
        <f t="shared" si="11"/>
        <v>6</v>
      </c>
      <c r="Q30">
        <f t="shared" si="12"/>
        <v>12</v>
      </c>
      <c r="R30">
        <f t="shared" si="13"/>
        <v>20</v>
      </c>
      <c r="S30" t="str">
        <f t="shared" si="14"/>
        <v>Books</v>
      </c>
      <c r="T30" t="str">
        <f t="shared" si="15"/>
        <v>Carol</v>
      </c>
      <c r="U30" t="str">
        <f t="shared" si="16"/>
        <v>2017104</v>
      </c>
      <c r="V30" t="str">
        <f t="shared" si="17"/>
        <v>718</v>
      </c>
      <c r="W30" s="4">
        <f t="shared" si="18"/>
        <v>43012</v>
      </c>
      <c r="X30" s="5">
        <f t="shared" si="19"/>
        <v>718</v>
      </c>
    </row>
    <row r="31" spans="3:24" x14ac:dyDescent="0.35">
      <c r="C31" s="2">
        <f t="shared" si="0"/>
        <v>30</v>
      </c>
      <c r="D31" t="s">
        <v>29</v>
      </c>
      <c r="E31">
        <f t="shared" si="1"/>
        <v>30</v>
      </c>
      <c r="F31" t="str">
        <f t="shared" si="2"/>
        <v xml:space="preserve">//PR:Games__SP:Alice20171027     $1683     </v>
      </c>
      <c r="G31">
        <f t="shared" si="3"/>
        <v>32</v>
      </c>
      <c r="H31" t="str">
        <f t="shared" si="4"/>
        <v>//PR:Games__SP:Alice20171027     $1683</v>
      </c>
      <c r="I31">
        <f t="shared" si="5"/>
        <v>51</v>
      </c>
      <c r="J31" t="str">
        <f t="shared" si="6"/>
        <v>PR:Games__SP:Alice20171027     $1683</v>
      </c>
      <c r="K31" t="str">
        <f t="shared" si="20"/>
        <v>PR:Games  SP:Alice20171027     $1683</v>
      </c>
      <c r="L31" t="str">
        <f t="shared" si="7"/>
        <v>Games  SP:Alice20171027     $1683</v>
      </c>
      <c r="M31" t="str">
        <f t="shared" si="8"/>
        <v>Games  Alice20171027     $1683</v>
      </c>
      <c r="N31" t="str">
        <f t="shared" si="9"/>
        <v>Games Alice20171027 $1683</v>
      </c>
      <c r="O31" t="str">
        <f t="shared" si="10"/>
        <v>Games Alice 20171027 $1683</v>
      </c>
      <c r="P31">
        <f t="shared" si="11"/>
        <v>6</v>
      </c>
      <c r="Q31">
        <f t="shared" si="12"/>
        <v>12</v>
      </c>
      <c r="R31">
        <f t="shared" si="13"/>
        <v>21</v>
      </c>
      <c r="S31" t="str">
        <f t="shared" si="14"/>
        <v>Games</v>
      </c>
      <c r="T31" t="str">
        <f t="shared" si="15"/>
        <v>Alice</v>
      </c>
      <c r="U31" t="str">
        <f t="shared" si="16"/>
        <v>20171027</v>
      </c>
      <c r="V31" t="str">
        <f t="shared" si="17"/>
        <v>1683</v>
      </c>
      <c r="W31" s="4">
        <f t="shared" si="18"/>
        <v>43035</v>
      </c>
      <c r="X31" s="5">
        <f t="shared" si="19"/>
        <v>1683</v>
      </c>
    </row>
    <row r="32" spans="3:24" x14ac:dyDescent="0.35">
      <c r="C32" s="2">
        <f t="shared" si="0"/>
        <v>31</v>
      </c>
      <c r="D32" t="s">
        <v>30</v>
      </c>
      <c r="E32">
        <f t="shared" si="1"/>
        <v>30</v>
      </c>
      <c r="F32" t="str">
        <f t="shared" si="2"/>
        <v xml:space="preserve">////PR:Clothing__SP:Carol20171017     $794   </v>
      </c>
      <c r="G32">
        <f t="shared" si="3"/>
        <v>32</v>
      </c>
      <c r="H32" t="str">
        <f t="shared" si="4"/>
        <v>////PR:Clothing__SP:Carol20171017     $794</v>
      </c>
      <c r="I32">
        <f t="shared" si="5"/>
        <v>52</v>
      </c>
      <c r="J32" t="str">
        <f t="shared" si="6"/>
        <v>PR:Clothing__SP:Carol20171017     $794</v>
      </c>
      <c r="K32" t="str">
        <f t="shared" si="20"/>
        <v>PR:Clothing  SP:Carol20171017     $794</v>
      </c>
      <c r="L32" t="str">
        <f t="shared" si="7"/>
        <v>Clothing  SP:Carol20171017     $794</v>
      </c>
      <c r="M32" t="str">
        <f t="shared" si="8"/>
        <v>Clothing  Carol20171017     $794</v>
      </c>
      <c r="N32" t="str">
        <f t="shared" si="9"/>
        <v>Clothing Carol20171017 $794</v>
      </c>
      <c r="O32" t="str">
        <f t="shared" si="10"/>
        <v>Clothing Carol 20171017 $794</v>
      </c>
      <c r="P32">
        <f t="shared" si="11"/>
        <v>9</v>
      </c>
      <c r="Q32">
        <f t="shared" si="12"/>
        <v>15</v>
      </c>
      <c r="R32">
        <f t="shared" si="13"/>
        <v>24</v>
      </c>
      <c r="S32" t="str">
        <f t="shared" si="14"/>
        <v>Clothing</v>
      </c>
      <c r="T32" t="str">
        <f t="shared" si="15"/>
        <v>Carol</v>
      </c>
      <c r="U32" t="str">
        <f t="shared" si="16"/>
        <v>20171017</v>
      </c>
      <c r="V32" t="str">
        <f t="shared" si="17"/>
        <v>794</v>
      </c>
      <c r="W32" s="4">
        <f t="shared" si="18"/>
        <v>43025</v>
      </c>
      <c r="X32" s="5">
        <f t="shared" si="19"/>
        <v>794</v>
      </c>
    </row>
    <row r="33" spans="3:24" x14ac:dyDescent="0.35">
      <c r="C33" s="2">
        <f t="shared" si="0"/>
        <v>32</v>
      </c>
      <c r="D33" t="s">
        <v>31</v>
      </c>
      <c r="E33">
        <f t="shared" si="1"/>
        <v>31</v>
      </c>
      <c r="F33" t="str">
        <f t="shared" si="2"/>
        <v xml:space="preserve">///PR:Games____SP:Alice20171023  $1747   </v>
      </c>
      <c r="G33">
        <f t="shared" si="3"/>
        <v>32</v>
      </c>
      <c r="H33" t="str">
        <f t="shared" si="4"/>
        <v>///PR:Games____SP:Alice20171023  $1747</v>
      </c>
      <c r="I33">
        <f t="shared" si="5"/>
        <v>55</v>
      </c>
      <c r="J33" t="str">
        <f t="shared" si="6"/>
        <v>PR:Games____SP:Alice20171023  $1747</v>
      </c>
      <c r="K33" t="str">
        <f t="shared" si="20"/>
        <v>PR:Games    SP:Alice20171023  $1747</v>
      </c>
      <c r="L33" t="str">
        <f t="shared" si="7"/>
        <v>Games    SP:Alice20171023  $1747</v>
      </c>
      <c r="M33" t="str">
        <f t="shared" si="8"/>
        <v>Games    Alice20171023  $1747</v>
      </c>
      <c r="N33" t="str">
        <f t="shared" si="9"/>
        <v>Games Alice20171023 $1747</v>
      </c>
      <c r="O33" t="str">
        <f t="shared" si="10"/>
        <v>Games Alice 20171023 $1747</v>
      </c>
      <c r="P33">
        <f t="shared" si="11"/>
        <v>6</v>
      </c>
      <c r="Q33">
        <f t="shared" si="12"/>
        <v>12</v>
      </c>
      <c r="R33">
        <f t="shared" si="13"/>
        <v>21</v>
      </c>
      <c r="S33" t="str">
        <f t="shared" si="14"/>
        <v>Games</v>
      </c>
      <c r="T33" t="str">
        <f t="shared" si="15"/>
        <v>Alice</v>
      </c>
      <c r="U33" t="str">
        <f t="shared" si="16"/>
        <v>20171023</v>
      </c>
      <c r="V33" t="str">
        <f t="shared" si="17"/>
        <v>1747</v>
      </c>
      <c r="W33" s="4">
        <f t="shared" si="18"/>
        <v>43031</v>
      </c>
      <c r="X33" s="5">
        <f t="shared" si="19"/>
        <v>1747</v>
      </c>
    </row>
    <row r="34" spans="3:24" x14ac:dyDescent="0.35">
      <c r="C34" s="2">
        <f t="shared" si="0"/>
        <v>33</v>
      </c>
      <c r="D34" t="s">
        <v>32</v>
      </c>
      <c r="E34">
        <f t="shared" si="1"/>
        <v>30</v>
      </c>
      <c r="F34" t="str">
        <f t="shared" si="2"/>
        <v xml:space="preserve">/////PR:Games____SP:David2017107    $1489    </v>
      </c>
      <c r="G34">
        <f t="shared" si="3"/>
        <v>32</v>
      </c>
      <c r="H34" t="str">
        <f t="shared" si="4"/>
        <v>/////PR:Games____SP:David2017107    $1489</v>
      </c>
      <c r="I34">
        <f t="shared" si="5"/>
        <v>57</v>
      </c>
      <c r="J34" t="str">
        <f t="shared" si="6"/>
        <v>PR:Games____SP:David2017107    $1489</v>
      </c>
      <c r="K34" t="str">
        <f t="shared" si="20"/>
        <v>PR:Games    SP:David2017107    $1489</v>
      </c>
      <c r="L34" t="str">
        <f t="shared" si="7"/>
        <v>Games    SP:David2017107    $1489</v>
      </c>
      <c r="M34" t="str">
        <f t="shared" si="8"/>
        <v>Games    David2017107    $1489</v>
      </c>
      <c r="N34" t="str">
        <f t="shared" si="9"/>
        <v>Games David2017107 $1489</v>
      </c>
      <c r="O34" t="str">
        <f t="shared" si="10"/>
        <v>Games David 2017107 $1489</v>
      </c>
      <c r="P34">
        <f t="shared" si="11"/>
        <v>6</v>
      </c>
      <c r="Q34">
        <f t="shared" si="12"/>
        <v>12</v>
      </c>
      <c r="R34">
        <f t="shared" si="13"/>
        <v>20</v>
      </c>
      <c r="S34" t="str">
        <f t="shared" si="14"/>
        <v>Games</v>
      </c>
      <c r="T34" t="str">
        <f t="shared" si="15"/>
        <v>David</v>
      </c>
      <c r="U34" t="str">
        <f t="shared" si="16"/>
        <v>2017107</v>
      </c>
      <c r="V34" t="str">
        <f t="shared" si="17"/>
        <v>1489</v>
      </c>
      <c r="W34" s="4">
        <f t="shared" si="18"/>
        <v>43015</v>
      </c>
      <c r="X34" s="5">
        <f t="shared" si="19"/>
        <v>1489</v>
      </c>
    </row>
    <row r="35" spans="3:24" x14ac:dyDescent="0.35">
      <c r="C35" s="2">
        <f t="shared" si="0"/>
        <v>34</v>
      </c>
      <c r="D35" t="s">
        <v>33</v>
      </c>
      <c r="E35">
        <f t="shared" si="1"/>
        <v>29</v>
      </c>
      <c r="F35" t="str">
        <f t="shared" si="2"/>
        <v xml:space="preserve">//PR:Clothing_____SP:Carol20171024     $681     </v>
      </c>
      <c r="G35">
        <f t="shared" si="3"/>
        <v>32</v>
      </c>
      <c r="H35" t="str">
        <f t="shared" si="4"/>
        <v>//PR:Clothing_____SP:Carol20171024     $681</v>
      </c>
      <c r="I35">
        <f t="shared" si="5"/>
        <v>49</v>
      </c>
      <c r="J35" t="str">
        <f t="shared" si="6"/>
        <v>PR:Clothing_____SP:Carol20171024     $681</v>
      </c>
      <c r="K35" t="str">
        <f t="shared" si="20"/>
        <v>PR:Clothing     SP:Carol20171024     $681</v>
      </c>
      <c r="L35" t="str">
        <f t="shared" si="7"/>
        <v>Clothing     SP:Carol20171024     $681</v>
      </c>
      <c r="M35" t="str">
        <f t="shared" si="8"/>
        <v>Clothing     Carol20171024     $681</v>
      </c>
      <c r="N35" t="str">
        <f t="shared" si="9"/>
        <v>Clothing Carol20171024 $681</v>
      </c>
      <c r="O35" t="str">
        <f t="shared" si="10"/>
        <v>Clothing Carol 20171024 $681</v>
      </c>
      <c r="P35">
        <f t="shared" si="11"/>
        <v>9</v>
      </c>
      <c r="Q35">
        <f t="shared" si="12"/>
        <v>15</v>
      </c>
      <c r="R35">
        <f t="shared" si="13"/>
        <v>24</v>
      </c>
      <c r="S35" t="str">
        <f t="shared" si="14"/>
        <v>Clothing</v>
      </c>
      <c r="T35" t="str">
        <f t="shared" si="15"/>
        <v>Carol</v>
      </c>
      <c r="U35" t="str">
        <f t="shared" si="16"/>
        <v>20171024</v>
      </c>
      <c r="V35" t="str">
        <f t="shared" si="17"/>
        <v>681</v>
      </c>
      <c r="W35" s="4">
        <f t="shared" si="18"/>
        <v>43032</v>
      </c>
      <c r="X35" s="5">
        <f t="shared" si="19"/>
        <v>681</v>
      </c>
    </row>
    <row r="36" spans="3:24" x14ac:dyDescent="0.35">
      <c r="C36" s="2">
        <f t="shared" si="0"/>
        <v>35</v>
      </c>
      <c r="D36" t="s">
        <v>34</v>
      </c>
      <c r="E36">
        <f t="shared" si="1"/>
        <v>30</v>
      </c>
      <c r="F36" t="str">
        <f t="shared" si="2"/>
        <v xml:space="preserve">/PR:Clothing_SP:Carol20171030   $0     </v>
      </c>
      <c r="G36">
        <f t="shared" si="3"/>
        <v>32</v>
      </c>
      <c r="H36" t="str">
        <f t="shared" si="4"/>
        <v>/PR:Clothing_SP:Carol20171030   $0</v>
      </c>
      <c r="I36">
        <f t="shared" si="5"/>
        <v>48</v>
      </c>
      <c r="J36" t="str">
        <f t="shared" si="6"/>
        <v>PR:Clothing_SP:Carol20171030   $0</v>
      </c>
      <c r="K36" t="str">
        <f t="shared" si="20"/>
        <v>PR:Clothing SP:Carol20171030   $0</v>
      </c>
      <c r="L36" t="str">
        <f t="shared" si="7"/>
        <v>Clothing SP:Carol20171030   $0</v>
      </c>
      <c r="M36" t="str">
        <f t="shared" si="8"/>
        <v>Clothing Carol20171030   $0</v>
      </c>
      <c r="N36" t="str">
        <f t="shared" si="9"/>
        <v>Clothing Carol20171030 $0</v>
      </c>
      <c r="O36" t="str">
        <f t="shared" si="10"/>
        <v>Clothing Carol 20171030 $0</v>
      </c>
      <c r="P36">
        <f t="shared" si="11"/>
        <v>9</v>
      </c>
      <c r="Q36">
        <f t="shared" si="12"/>
        <v>15</v>
      </c>
      <c r="R36">
        <f t="shared" si="13"/>
        <v>24</v>
      </c>
      <c r="S36" t="str">
        <f t="shared" si="14"/>
        <v>Clothing</v>
      </c>
      <c r="T36" t="str">
        <f t="shared" si="15"/>
        <v>Carol</v>
      </c>
      <c r="U36" t="str">
        <f t="shared" si="16"/>
        <v>20171030</v>
      </c>
      <c r="V36" t="str">
        <f t="shared" si="17"/>
        <v>0</v>
      </c>
      <c r="W36" s="4">
        <f t="shared" si="18"/>
        <v>43038</v>
      </c>
      <c r="X36" s="5">
        <f t="shared" si="19"/>
        <v>0</v>
      </c>
    </row>
    <row r="37" spans="3:24" x14ac:dyDescent="0.35">
      <c r="C37" s="2">
        <f t="shared" si="0"/>
        <v>36</v>
      </c>
      <c r="D37" t="s">
        <v>35</v>
      </c>
      <c r="E37">
        <f t="shared" si="1"/>
        <v>29</v>
      </c>
      <c r="F37" t="str">
        <f t="shared" si="2"/>
        <v xml:space="preserve">//PR:Music____SP:Alice20171020  $0    </v>
      </c>
      <c r="G37">
        <f t="shared" si="3"/>
        <v>32</v>
      </c>
      <c r="H37" t="str">
        <f t="shared" si="4"/>
        <v>//PR:Music____SP:Alice20171020  $0</v>
      </c>
      <c r="I37">
        <f t="shared" si="5"/>
        <v>48</v>
      </c>
      <c r="J37" t="str">
        <f t="shared" si="6"/>
        <v>PR:Music____SP:Alice20171020  $0</v>
      </c>
      <c r="K37" t="str">
        <f t="shared" si="20"/>
        <v>PR:Music    SP:Alice20171020  $0</v>
      </c>
      <c r="L37" t="str">
        <f t="shared" si="7"/>
        <v>Music    SP:Alice20171020  $0</v>
      </c>
      <c r="M37" t="str">
        <f t="shared" si="8"/>
        <v>Music    Alice20171020  $0</v>
      </c>
      <c r="N37" t="str">
        <f t="shared" si="9"/>
        <v>Music Alice20171020 $0</v>
      </c>
      <c r="O37" t="str">
        <f t="shared" si="10"/>
        <v>Music Alice 20171020 $0</v>
      </c>
      <c r="P37">
        <f t="shared" si="11"/>
        <v>6</v>
      </c>
      <c r="Q37">
        <f t="shared" si="12"/>
        <v>12</v>
      </c>
      <c r="R37">
        <f t="shared" si="13"/>
        <v>21</v>
      </c>
      <c r="S37" t="str">
        <f t="shared" si="14"/>
        <v>Music</v>
      </c>
      <c r="T37" t="str">
        <f t="shared" si="15"/>
        <v>Alice</v>
      </c>
      <c r="U37" t="str">
        <f t="shared" si="16"/>
        <v>20171020</v>
      </c>
      <c r="V37" t="str">
        <f t="shared" si="17"/>
        <v>0</v>
      </c>
      <c r="W37" s="4">
        <f t="shared" si="18"/>
        <v>43028</v>
      </c>
      <c r="X37" s="5">
        <f t="shared" si="19"/>
        <v>0</v>
      </c>
    </row>
    <row r="38" spans="3:24" x14ac:dyDescent="0.35">
      <c r="C38" s="2">
        <f t="shared" si="0"/>
        <v>37</v>
      </c>
      <c r="D38" t="s">
        <v>36</v>
      </c>
      <c r="E38">
        <f t="shared" si="1"/>
        <v>28</v>
      </c>
      <c r="F38" t="str">
        <f t="shared" si="2"/>
        <v xml:space="preserve">//PR:Books__SP:David20171021    $960    </v>
      </c>
      <c r="G38">
        <f t="shared" si="3"/>
        <v>32</v>
      </c>
      <c r="H38" t="str">
        <f t="shared" si="4"/>
        <v>//PR:Books__SP:David20171021    $960</v>
      </c>
      <c r="I38">
        <f t="shared" si="5"/>
        <v>48</v>
      </c>
      <c r="J38" t="str">
        <f t="shared" si="6"/>
        <v>PR:Books__SP:David20171021    $960</v>
      </c>
      <c r="K38" t="str">
        <f t="shared" si="20"/>
        <v>PR:Books  SP:David20171021    $960</v>
      </c>
      <c r="L38" t="str">
        <f t="shared" si="7"/>
        <v>Books  SP:David20171021    $960</v>
      </c>
      <c r="M38" t="str">
        <f t="shared" si="8"/>
        <v>Books  David20171021    $960</v>
      </c>
      <c r="N38" t="str">
        <f t="shared" si="9"/>
        <v>Books David20171021 $960</v>
      </c>
      <c r="O38" t="str">
        <f t="shared" si="10"/>
        <v>Books David 20171021 $960</v>
      </c>
      <c r="P38">
        <f t="shared" si="11"/>
        <v>6</v>
      </c>
      <c r="Q38">
        <f t="shared" si="12"/>
        <v>12</v>
      </c>
      <c r="R38">
        <f t="shared" si="13"/>
        <v>21</v>
      </c>
      <c r="S38" t="str">
        <f t="shared" si="14"/>
        <v>Books</v>
      </c>
      <c r="T38" t="str">
        <f t="shared" si="15"/>
        <v>David</v>
      </c>
      <c r="U38" t="str">
        <f t="shared" si="16"/>
        <v>20171021</v>
      </c>
      <c r="V38" t="str">
        <f t="shared" si="17"/>
        <v>960</v>
      </c>
      <c r="W38" s="4">
        <f t="shared" si="18"/>
        <v>43029</v>
      </c>
      <c r="X38" s="5">
        <f t="shared" si="19"/>
        <v>960</v>
      </c>
    </row>
    <row r="39" spans="3:24" x14ac:dyDescent="0.35">
      <c r="C39" s="2">
        <f t="shared" si="0"/>
        <v>38</v>
      </c>
      <c r="D39" t="s">
        <v>37</v>
      </c>
      <c r="E39">
        <f t="shared" si="1"/>
        <v>30</v>
      </c>
      <c r="F39" t="str">
        <f t="shared" si="2"/>
        <v xml:space="preserve">/PR:Books_____SP:Carol20171030   $731   </v>
      </c>
      <c r="G39">
        <f t="shared" si="3"/>
        <v>32</v>
      </c>
      <c r="H39" t="str">
        <f t="shared" si="4"/>
        <v>/PR:Books_____SP:Carol20171030   $731</v>
      </c>
      <c r="I39">
        <f t="shared" si="5"/>
        <v>49</v>
      </c>
      <c r="J39" t="str">
        <f t="shared" si="6"/>
        <v>PR:Books_____SP:Carol20171030   $731</v>
      </c>
      <c r="K39" t="str">
        <f t="shared" si="20"/>
        <v>PR:Books     SP:Carol20171030   $731</v>
      </c>
      <c r="L39" t="str">
        <f t="shared" si="7"/>
        <v>Books     SP:Carol20171030   $731</v>
      </c>
      <c r="M39" t="str">
        <f t="shared" si="8"/>
        <v>Books     Carol20171030   $731</v>
      </c>
      <c r="N39" t="str">
        <f t="shared" si="9"/>
        <v>Books Carol20171030 $731</v>
      </c>
      <c r="O39" t="str">
        <f t="shared" si="10"/>
        <v>Books Carol 20171030 $731</v>
      </c>
      <c r="P39">
        <f t="shared" si="11"/>
        <v>6</v>
      </c>
      <c r="Q39">
        <f t="shared" si="12"/>
        <v>12</v>
      </c>
      <c r="R39">
        <f t="shared" si="13"/>
        <v>21</v>
      </c>
      <c r="S39" t="str">
        <f t="shared" si="14"/>
        <v>Books</v>
      </c>
      <c r="T39" t="str">
        <f t="shared" si="15"/>
        <v>Carol</v>
      </c>
      <c r="U39" t="str">
        <f t="shared" si="16"/>
        <v>20171030</v>
      </c>
      <c r="V39" t="str">
        <f t="shared" si="17"/>
        <v>731</v>
      </c>
      <c r="W39" s="4">
        <f t="shared" si="18"/>
        <v>43038</v>
      </c>
      <c r="X39" s="5">
        <f t="shared" si="19"/>
        <v>731</v>
      </c>
    </row>
    <row r="40" spans="3:24" x14ac:dyDescent="0.35">
      <c r="C40" s="2">
        <f t="shared" si="0"/>
        <v>39</v>
      </c>
      <c r="D40" t="s">
        <v>38</v>
      </c>
      <c r="E40">
        <f t="shared" si="1"/>
        <v>30</v>
      </c>
      <c r="F40" t="str">
        <f t="shared" si="2"/>
        <v xml:space="preserve">/////PR:Games_____SP:David2017102   $2153    </v>
      </c>
      <c r="G40">
        <f t="shared" si="3"/>
        <v>32</v>
      </c>
      <c r="H40" t="str">
        <f t="shared" si="4"/>
        <v>/////PR:Games_____SP:David2017102   $2153</v>
      </c>
      <c r="I40">
        <f t="shared" si="5"/>
        <v>51</v>
      </c>
      <c r="J40" t="str">
        <f t="shared" si="6"/>
        <v>PR:Games_____SP:David2017102   $2153</v>
      </c>
      <c r="K40" t="str">
        <f t="shared" si="20"/>
        <v>PR:Games     SP:David2017102   $2153</v>
      </c>
      <c r="L40" t="str">
        <f t="shared" si="7"/>
        <v>Games     SP:David2017102   $2153</v>
      </c>
      <c r="M40" t="str">
        <f t="shared" si="8"/>
        <v>Games     David2017102   $2153</v>
      </c>
      <c r="N40" t="str">
        <f t="shared" si="9"/>
        <v>Games David2017102 $2153</v>
      </c>
      <c r="O40" t="str">
        <f t="shared" si="10"/>
        <v>Games David 2017102 $2153</v>
      </c>
      <c r="P40">
        <f t="shared" si="11"/>
        <v>6</v>
      </c>
      <c r="Q40">
        <f t="shared" si="12"/>
        <v>12</v>
      </c>
      <c r="R40">
        <f t="shared" si="13"/>
        <v>20</v>
      </c>
      <c r="S40" t="str">
        <f t="shared" si="14"/>
        <v>Games</v>
      </c>
      <c r="T40" t="str">
        <f t="shared" si="15"/>
        <v>David</v>
      </c>
      <c r="U40" t="str">
        <f t="shared" si="16"/>
        <v>2017102</v>
      </c>
      <c r="V40" t="str">
        <f t="shared" si="17"/>
        <v>2153</v>
      </c>
      <c r="W40" s="4">
        <f t="shared" si="18"/>
        <v>43010</v>
      </c>
      <c r="X40" s="5">
        <f t="shared" si="19"/>
        <v>2153</v>
      </c>
    </row>
    <row r="41" spans="3:24" x14ac:dyDescent="0.35">
      <c r="C41" s="2">
        <f t="shared" si="0"/>
        <v>40</v>
      </c>
      <c r="D41" t="s">
        <v>39</v>
      </c>
      <c r="E41">
        <f t="shared" si="1"/>
        <v>31</v>
      </c>
      <c r="F41" t="str">
        <f t="shared" si="2"/>
        <v xml:space="preserve">////PR:Music_SP:Alice20171011  $0    </v>
      </c>
      <c r="G41">
        <f t="shared" si="3"/>
        <v>32</v>
      </c>
      <c r="H41" t="str">
        <f t="shared" si="4"/>
        <v>////PR:Music_SP:Alice20171011  $0</v>
      </c>
      <c r="I41">
        <f t="shared" si="5"/>
        <v>48</v>
      </c>
      <c r="J41" t="str">
        <f t="shared" si="6"/>
        <v>PR:Music_SP:Alice20171011  $0</v>
      </c>
      <c r="K41" t="str">
        <f t="shared" si="20"/>
        <v>PR:Music SP:Alice20171011  $0</v>
      </c>
      <c r="L41" t="str">
        <f t="shared" si="7"/>
        <v>Music SP:Alice20171011  $0</v>
      </c>
      <c r="M41" t="str">
        <f t="shared" si="8"/>
        <v>Music Alice20171011  $0</v>
      </c>
      <c r="N41" t="str">
        <f t="shared" si="9"/>
        <v>Music Alice20171011 $0</v>
      </c>
      <c r="O41" t="str">
        <f t="shared" si="10"/>
        <v>Music Alice 20171011 $0</v>
      </c>
      <c r="P41">
        <f t="shared" si="11"/>
        <v>6</v>
      </c>
      <c r="Q41">
        <f t="shared" si="12"/>
        <v>12</v>
      </c>
      <c r="R41">
        <f t="shared" si="13"/>
        <v>21</v>
      </c>
      <c r="S41" t="str">
        <f t="shared" si="14"/>
        <v>Music</v>
      </c>
      <c r="T41" t="str">
        <f t="shared" si="15"/>
        <v>Alice</v>
      </c>
      <c r="U41" t="str">
        <f t="shared" si="16"/>
        <v>20171011</v>
      </c>
      <c r="V41" t="str">
        <f t="shared" si="17"/>
        <v>0</v>
      </c>
      <c r="W41" s="4">
        <f t="shared" si="18"/>
        <v>43019</v>
      </c>
      <c r="X41" s="5">
        <f t="shared" si="19"/>
        <v>0</v>
      </c>
    </row>
    <row r="42" spans="3:24" x14ac:dyDescent="0.35">
      <c r="C42" s="2">
        <f t="shared" si="0"/>
        <v>41</v>
      </c>
      <c r="D42" t="s">
        <v>40</v>
      </c>
      <c r="E42">
        <f t="shared" si="1"/>
        <v>31</v>
      </c>
      <c r="F42" t="str">
        <f t="shared" si="2"/>
        <v xml:space="preserve">////PR:Books_____SP:Carol20171015   $754   </v>
      </c>
      <c r="G42">
        <f t="shared" si="3"/>
        <v>32</v>
      </c>
      <c r="H42" t="str">
        <f t="shared" si="4"/>
        <v>////PR:Books_____SP:Carol20171015   $754</v>
      </c>
      <c r="I42">
        <f t="shared" si="5"/>
        <v>52</v>
      </c>
      <c r="J42" t="str">
        <f t="shared" si="6"/>
        <v>PR:Books_____SP:Carol20171015   $754</v>
      </c>
      <c r="K42" t="str">
        <f t="shared" si="20"/>
        <v>PR:Books     SP:Carol20171015   $754</v>
      </c>
      <c r="L42" t="str">
        <f t="shared" si="7"/>
        <v>Books     SP:Carol20171015   $754</v>
      </c>
      <c r="M42" t="str">
        <f t="shared" si="8"/>
        <v>Books     Carol20171015   $754</v>
      </c>
      <c r="N42" t="str">
        <f t="shared" si="9"/>
        <v>Books Carol20171015 $754</v>
      </c>
      <c r="O42" t="str">
        <f t="shared" si="10"/>
        <v>Books Carol 20171015 $754</v>
      </c>
      <c r="P42">
        <f t="shared" si="11"/>
        <v>6</v>
      </c>
      <c r="Q42">
        <f t="shared" si="12"/>
        <v>12</v>
      </c>
      <c r="R42">
        <f t="shared" si="13"/>
        <v>21</v>
      </c>
      <c r="S42" t="str">
        <f t="shared" si="14"/>
        <v>Books</v>
      </c>
      <c r="T42" t="str">
        <f t="shared" si="15"/>
        <v>Carol</v>
      </c>
      <c r="U42" t="str">
        <f t="shared" si="16"/>
        <v>20171015</v>
      </c>
      <c r="V42" t="str">
        <f t="shared" si="17"/>
        <v>754</v>
      </c>
      <c r="W42" s="4">
        <f t="shared" si="18"/>
        <v>43023</v>
      </c>
      <c r="X42" s="5">
        <f t="shared" si="19"/>
        <v>754</v>
      </c>
    </row>
    <row r="43" spans="3:24" x14ac:dyDescent="0.35">
      <c r="C43" s="2">
        <f t="shared" si="0"/>
        <v>42</v>
      </c>
      <c r="D43" t="s">
        <v>41</v>
      </c>
      <c r="E43">
        <f t="shared" si="1"/>
        <v>29</v>
      </c>
      <c r="F43" t="str">
        <f t="shared" si="2"/>
        <v xml:space="preserve">/////PR:Music____SP:Carol20171012  $0  </v>
      </c>
      <c r="G43">
        <f t="shared" si="3"/>
        <v>32</v>
      </c>
      <c r="H43" t="str">
        <f t="shared" si="4"/>
        <v>/////PR:Music____SP:Carol20171012  $0</v>
      </c>
      <c r="I43">
        <f t="shared" si="5"/>
        <v>48</v>
      </c>
      <c r="J43" t="str">
        <f t="shared" si="6"/>
        <v>PR:Music____SP:Carol20171012  $0</v>
      </c>
      <c r="K43" t="str">
        <f t="shared" si="20"/>
        <v>PR:Music    SP:Carol20171012  $0</v>
      </c>
      <c r="L43" t="str">
        <f t="shared" si="7"/>
        <v>Music    SP:Carol20171012  $0</v>
      </c>
      <c r="M43" t="str">
        <f t="shared" si="8"/>
        <v>Music    Carol20171012  $0</v>
      </c>
      <c r="N43" t="str">
        <f t="shared" si="9"/>
        <v>Music Carol20171012 $0</v>
      </c>
      <c r="O43" t="str">
        <f t="shared" si="10"/>
        <v>Music Carol 20171012 $0</v>
      </c>
      <c r="P43">
        <f t="shared" si="11"/>
        <v>6</v>
      </c>
      <c r="Q43">
        <f t="shared" si="12"/>
        <v>12</v>
      </c>
      <c r="R43">
        <f t="shared" si="13"/>
        <v>21</v>
      </c>
      <c r="S43" t="str">
        <f t="shared" si="14"/>
        <v>Music</v>
      </c>
      <c r="T43" t="str">
        <f t="shared" si="15"/>
        <v>Carol</v>
      </c>
      <c r="U43" t="str">
        <f t="shared" si="16"/>
        <v>20171012</v>
      </c>
      <c r="V43" t="str">
        <f t="shared" si="17"/>
        <v>0</v>
      </c>
      <c r="W43" s="4">
        <f t="shared" si="18"/>
        <v>43020</v>
      </c>
      <c r="X43" s="5">
        <f t="shared" si="19"/>
        <v>0</v>
      </c>
    </row>
    <row r="44" spans="3:24" x14ac:dyDescent="0.35">
      <c r="C44" s="2">
        <f t="shared" si="0"/>
        <v>43</v>
      </c>
      <c r="D44" t="s">
        <v>42</v>
      </c>
      <c r="E44">
        <f t="shared" si="1"/>
        <v>31</v>
      </c>
      <c r="F44" t="str">
        <f t="shared" si="2"/>
        <v xml:space="preserve">///PR:Clothing_SP:Barney2017109  $1944    </v>
      </c>
      <c r="G44">
        <f t="shared" si="3"/>
        <v>32</v>
      </c>
      <c r="H44" t="str">
        <f t="shared" si="4"/>
        <v>///PR:Clothing_SP:Barney2017109  $1944</v>
      </c>
      <c r="I44">
        <f t="shared" si="5"/>
        <v>52</v>
      </c>
      <c r="J44" t="str">
        <f t="shared" si="6"/>
        <v>PR:Clothing_SP:Barney2017109  $1944</v>
      </c>
      <c r="K44" t="str">
        <f t="shared" si="20"/>
        <v>PR:Clothing SP:Barney2017109  $1944</v>
      </c>
      <c r="L44" t="str">
        <f t="shared" si="7"/>
        <v>Clothing SP:Barney2017109  $1944</v>
      </c>
      <c r="M44" t="str">
        <f t="shared" si="8"/>
        <v>Clothing Barney2017109  $1944</v>
      </c>
      <c r="N44" t="str">
        <f t="shared" si="9"/>
        <v>Clothing Barney2017109 $1944</v>
      </c>
      <c r="O44" t="str">
        <f t="shared" si="10"/>
        <v>Clothing Barney 2017109 $1944</v>
      </c>
      <c r="P44">
        <f t="shared" si="11"/>
        <v>9</v>
      </c>
      <c r="Q44">
        <f t="shared" si="12"/>
        <v>16</v>
      </c>
      <c r="R44">
        <f t="shared" si="13"/>
        <v>24</v>
      </c>
      <c r="S44" t="str">
        <f t="shared" si="14"/>
        <v>Clothing</v>
      </c>
      <c r="T44" t="str">
        <f t="shared" si="15"/>
        <v>Barney</v>
      </c>
      <c r="U44" t="str">
        <f t="shared" si="16"/>
        <v>2017109</v>
      </c>
      <c r="V44" t="str">
        <f t="shared" si="17"/>
        <v>1944</v>
      </c>
      <c r="W44" s="4">
        <f t="shared" si="18"/>
        <v>43017</v>
      </c>
      <c r="X44" s="5">
        <f t="shared" si="19"/>
        <v>1944</v>
      </c>
    </row>
    <row r="45" spans="3:24" x14ac:dyDescent="0.35">
      <c r="C45" s="2">
        <f t="shared" si="0"/>
        <v>44</v>
      </c>
      <c r="D45" t="s">
        <v>43</v>
      </c>
      <c r="E45">
        <f t="shared" si="1"/>
        <v>29</v>
      </c>
      <c r="F45" t="str">
        <f t="shared" si="2"/>
        <v xml:space="preserve">/PR:Clothing__SP:Carol20171014     $808   </v>
      </c>
      <c r="G45">
        <f t="shared" si="3"/>
        <v>32</v>
      </c>
      <c r="H45" t="str">
        <f t="shared" si="4"/>
        <v>/PR:Clothing__SP:Carol20171014     $808</v>
      </c>
      <c r="I45">
        <f t="shared" si="5"/>
        <v>56</v>
      </c>
      <c r="J45" t="str">
        <f t="shared" si="6"/>
        <v>PR:Clothing__SP:Carol20171014     $808</v>
      </c>
      <c r="K45" t="str">
        <f t="shared" si="20"/>
        <v>PR:Clothing  SP:Carol20171014     $808</v>
      </c>
      <c r="L45" t="str">
        <f t="shared" si="7"/>
        <v>Clothing  SP:Carol20171014     $808</v>
      </c>
      <c r="M45" t="str">
        <f t="shared" si="8"/>
        <v>Clothing  Carol20171014     $808</v>
      </c>
      <c r="N45" t="str">
        <f t="shared" si="9"/>
        <v>Clothing Carol20171014 $808</v>
      </c>
      <c r="O45" t="str">
        <f t="shared" si="10"/>
        <v>Clothing Carol 20171014 $808</v>
      </c>
      <c r="P45">
        <f t="shared" si="11"/>
        <v>9</v>
      </c>
      <c r="Q45">
        <f t="shared" si="12"/>
        <v>15</v>
      </c>
      <c r="R45">
        <f t="shared" si="13"/>
        <v>24</v>
      </c>
      <c r="S45" t="str">
        <f t="shared" si="14"/>
        <v>Clothing</v>
      </c>
      <c r="T45" t="str">
        <f t="shared" si="15"/>
        <v>Carol</v>
      </c>
      <c r="U45" t="str">
        <f t="shared" si="16"/>
        <v>20171014</v>
      </c>
      <c r="V45" t="str">
        <f t="shared" si="17"/>
        <v>808</v>
      </c>
      <c r="W45" s="4">
        <f t="shared" si="18"/>
        <v>43022</v>
      </c>
      <c r="X45" s="5">
        <f t="shared" si="19"/>
        <v>808</v>
      </c>
    </row>
    <row r="46" spans="3:24" x14ac:dyDescent="0.35">
      <c r="C46" s="2">
        <f t="shared" si="0"/>
        <v>45</v>
      </c>
      <c r="D46" t="s">
        <v>44</v>
      </c>
      <c r="E46">
        <f t="shared" si="1"/>
        <v>30</v>
      </c>
      <c r="F46" t="str">
        <f t="shared" si="2"/>
        <v xml:space="preserve">/////PR:Clothing___SP:Carol20171010    $1732   </v>
      </c>
      <c r="G46">
        <f t="shared" si="3"/>
        <v>32</v>
      </c>
      <c r="H46" t="str">
        <f t="shared" si="4"/>
        <v>/////PR:Clothing___SP:Carol20171010    $1732</v>
      </c>
      <c r="I46">
        <f t="shared" si="5"/>
        <v>50</v>
      </c>
      <c r="J46" t="str">
        <f t="shared" si="6"/>
        <v>PR:Clothing___SP:Carol20171010    $1732</v>
      </c>
      <c r="K46" t="str">
        <f t="shared" si="20"/>
        <v>PR:Clothing   SP:Carol20171010    $1732</v>
      </c>
      <c r="L46" t="str">
        <f t="shared" si="7"/>
        <v>Clothing   SP:Carol20171010    $1732</v>
      </c>
      <c r="M46" t="str">
        <f t="shared" si="8"/>
        <v>Clothing   Carol20171010    $1732</v>
      </c>
      <c r="N46" t="str">
        <f t="shared" si="9"/>
        <v>Clothing Carol20171010 $1732</v>
      </c>
      <c r="O46" t="str">
        <f t="shared" si="10"/>
        <v>Clothing Carol 20171010 $1732</v>
      </c>
      <c r="P46">
        <f t="shared" si="11"/>
        <v>9</v>
      </c>
      <c r="Q46">
        <f t="shared" si="12"/>
        <v>15</v>
      </c>
      <c r="R46">
        <f t="shared" si="13"/>
        <v>24</v>
      </c>
      <c r="S46" t="str">
        <f t="shared" si="14"/>
        <v>Clothing</v>
      </c>
      <c r="T46" t="str">
        <f t="shared" si="15"/>
        <v>Carol</v>
      </c>
      <c r="U46" t="str">
        <f t="shared" si="16"/>
        <v>20171010</v>
      </c>
      <c r="V46" t="str">
        <f t="shared" si="17"/>
        <v>1732</v>
      </c>
      <c r="W46" s="4">
        <f t="shared" si="18"/>
        <v>43018</v>
      </c>
      <c r="X46" s="5">
        <f t="shared" si="19"/>
        <v>1732</v>
      </c>
    </row>
    <row r="47" spans="3:24" x14ac:dyDescent="0.35">
      <c r="C47" s="2">
        <f t="shared" si="0"/>
        <v>46</v>
      </c>
      <c r="D47" t="s">
        <v>45</v>
      </c>
      <c r="E47">
        <f t="shared" si="1"/>
        <v>28</v>
      </c>
      <c r="F47" t="str">
        <f t="shared" si="2"/>
        <v xml:space="preserve">//PR:Games____SP:Barney20171018 $2493  </v>
      </c>
      <c r="G47">
        <f t="shared" si="3"/>
        <v>32</v>
      </c>
      <c r="H47" t="str">
        <f t="shared" si="4"/>
        <v>//PR:Games____SP:Barney20171018 $2493</v>
      </c>
      <c r="I47">
        <f t="shared" si="5"/>
        <v>51</v>
      </c>
      <c r="J47" t="str">
        <f t="shared" si="6"/>
        <v>PR:Games____SP:Barney20171018 $2493</v>
      </c>
      <c r="K47" t="str">
        <f t="shared" si="20"/>
        <v>PR:Games    SP:Barney20171018 $2493</v>
      </c>
      <c r="L47" t="str">
        <f t="shared" si="7"/>
        <v>Games    SP:Barney20171018 $2493</v>
      </c>
      <c r="M47" t="str">
        <f t="shared" si="8"/>
        <v>Games    Barney20171018 $2493</v>
      </c>
      <c r="N47" t="str">
        <f t="shared" si="9"/>
        <v>Games Barney20171018 $2493</v>
      </c>
      <c r="O47" t="str">
        <f t="shared" si="10"/>
        <v>Games Barney 20171018 $2493</v>
      </c>
      <c r="P47">
        <f t="shared" si="11"/>
        <v>6</v>
      </c>
      <c r="Q47">
        <f t="shared" si="12"/>
        <v>13</v>
      </c>
      <c r="R47">
        <f t="shared" si="13"/>
        <v>22</v>
      </c>
      <c r="S47" t="str">
        <f t="shared" si="14"/>
        <v>Games</v>
      </c>
      <c r="T47" t="str">
        <f t="shared" si="15"/>
        <v>Barney</v>
      </c>
      <c r="U47" t="str">
        <f t="shared" si="16"/>
        <v>20171018</v>
      </c>
      <c r="V47" t="str">
        <f t="shared" si="17"/>
        <v>2493</v>
      </c>
      <c r="W47" s="4">
        <f t="shared" si="18"/>
        <v>43026</v>
      </c>
      <c r="X47" s="5">
        <f t="shared" si="19"/>
        <v>2493</v>
      </c>
    </row>
    <row r="48" spans="3:24" x14ac:dyDescent="0.35">
      <c r="C48" s="2">
        <f t="shared" si="0"/>
        <v>47</v>
      </c>
      <c r="D48" t="s">
        <v>46</v>
      </c>
      <c r="E48">
        <f t="shared" si="1"/>
        <v>30</v>
      </c>
      <c r="F48" t="str">
        <f t="shared" si="2"/>
        <v xml:space="preserve">/PR:Music_SP:Barney2017109    $0  </v>
      </c>
      <c r="G48">
        <f t="shared" si="3"/>
        <v>32</v>
      </c>
      <c r="H48" t="str">
        <f t="shared" si="4"/>
        <v>/PR:Music_SP:Barney2017109    $0</v>
      </c>
      <c r="I48">
        <f t="shared" si="5"/>
        <v>48</v>
      </c>
      <c r="J48" t="str">
        <f t="shared" si="6"/>
        <v>PR:Music_SP:Barney2017109    $0</v>
      </c>
      <c r="K48" t="str">
        <f t="shared" si="20"/>
        <v>PR:Music SP:Barney2017109    $0</v>
      </c>
      <c r="L48" t="str">
        <f t="shared" si="7"/>
        <v>Music SP:Barney2017109    $0</v>
      </c>
      <c r="M48" t="str">
        <f t="shared" si="8"/>
        <v>Music Barney2017109    $0</v>
      </c>
      <c r="N48" t="str">
        <f t="shared" si="9"/>
        <v>Music Barney2017109 $0</v>
      </c>
      <c r="O48" t="str">
        <f t="shared" si="10"/>
        <v>Music Barney 2017109 $0</v>
      </c>
      <c r="P48">
        <f t="shared" si="11"/>
        <v>6</v>
      </c>
      <c r="Q48">
        <f t="shared" si="12"/>
        <v>13</v>
      </c>
      <c r="R48">
        <f t="shared" si="13"/>
        <v>21</v>
      </c>
      <c r="S48" t="str">
        <f t="shared" si="14"/>
        <v>Music</v>
      </c>
      <c r="T48" t="str">
        <f t="shared" si="15"/>
        <v>Barney</v>
      </c>
      <c r="U48" t="str">
        <f t="shared" si="16"/>
        <v>2017109</v>
      </c>
      <c r="V48" t="str">
        <f t="shared" si="17"/>
        <v>0</v>
      </c>
      <c r="W48" s="4">
        <f t="shared" si="18"/>
        <v>43017</v>
      </c>
      <c r="X48" s="5">
        <f t="shared" si="19"/>
        <v>0</v>
      </c>
    </row>
    <row r="49" spans="3:24" x14ac:dyDescent="0.35">
      <c r="C49" s="2">
        <f t="shared" si="0"/>
        <v>48</v>
      </c>
      <c r="D49" t="s">
        <v>47</v>
      </c>
      <c r="E49">
        <f t="shared" si="1"/>
        <v>30</v>
      </c>
      <c r="F49" t="str">
        <f t="shared" si="2"/>
        <v xml:space="preserve">/////PR:Music___SP:Barney20171027    $0     </v>
      </c>
      <c r="G49">
        <f t="shared" si="3"/>
        <v>32</v>
      </c>
      <c r="H49" t="str">
        <f t="shared" si="4"/>
        <v>/////PR:Music___SP:Barney20171027    $0</v>
      </c>
      <c r="I49">
        <f t="shared" si="5"/>
        <v>48</v>
      </c>
      <c r="J49" t="str">
        <f t="shared" si="6"/>
        <v>PR:Music___SP:Barney20171027    $0</v>
      </c>
      <c r="K49" t="str">
        <f t="shared" si="20"/>
        <v>PR:Music   SP:Barney20171027    $0</v>
      </c>
      <c r="L49" t="str">
        <f t="shared" si="7"/>
        <v>Music   SP:Barney20171027    $0</v>
      </c>
      <c r="M49" t="str">
        <f t="shared" si="8"/>
        <v>Music   Barney20171027    $0</v>
      </c>
      <c r="N49" t="str">
        <f t="shared" si="9"/>
        <v>Music Barney20171027 $0</v>
      </c>
      <c r="O49" t="str">
        <f t="shared" si="10"/>
        <v>Music Barney 20171027 $0</v>
      </c>
      <c r="P49">
        <f t="shared" si="11"/>
        <v>6</v>
      </c>
      <c r="Q49">
        <f t="shared" si="12"/>
        <v>13</v>
      </c>
      <c r="R49">
        <f t="shared" si="13"/>
        <v>22</v>
      </c>
      <c r="S49" t="str">
        <f t="shared" si="14"/>
        <v>Music</v>
      </c>
      <c r="T49" t="str">
        <f t="shared" si="15"/>
        <v>Barney</v>
      </c>
      <c r="U49" t="str">
        <f t="shared" si="16"/>
        <v>20171027</v>
      </c>
      <c r="V49" t="str">
        <f t="shared" si="17"/>
        <v>0</v>
      </c>
      <c r="W49" s="4">
        <f t="shared" si="18"/>
        <v>43035</v>
      </c>
      <c r="X49" s="5">
        <f t="shared" si="19"/>
        <v>0</v>
      </c>
    </row>
    <row r="50" spans="3:24" x14ac:dyDescent="0.35">
      <c r="C50" s="2">
        <f t="shared" si="0"/>
        <v>49</v>
      </c>
      <c r="D50" t="s">
        <v>48</v>
      </c>
      <c r="E50">
        <f t="shared" si="1"/>
        <v>28</v>
      </c>
      <c r="F50" t="str">
        <f t="shared" si="2"/>
        <v xml:space="preserve">/////PR:Games___SP:Carol20171024     $1893  </v>
      </c>
      <c r="G50">
        <f t="shared" si="3"/>
        <v>32</v>
      </c>
      <c r="H50" t="str">
        <f t="shared" si="4"/>
        <v>/////PR:Games___SP:Carol20171024     $1893</v>
      </c>
      <c r="I50">
        <f t="shared" si="5"/>
        <v>51</v>
      </c>
      <c r="J50" t="str">
        <f t="shared" si="6"/>
        <v>PR:Games___SP:Carol20171024     $1893</v>
      </c>
      <c r="K50" t="str">
        <f t="shared" si="20"/>
        <v>PR:Games   SP:Carol20171024     $1893</v>
      </c>
      <c r="L50" t="str">
        <f t="shared" si="7"/>
        <v>Games   SP:Carol20171024     $1893</v>
      </c>
      <c r="M50" t="str">
        <f t="shared" si="8"/>
        <v>Games   Carol20171024     $1893</v>
      </c>
      <c r="N50" t="str">
        <f t="shared" si="9"/>
        <v>Games Carol20171024 $1893</v>
      </c>
      <c r="O50" t="str">
        <f t="shared" si="10"/>
        <v>Games Carol 20171024 $1893</v>
      </c>
      <c r="P50">
        <f t="shared" si="11"/>
        <v>6</v>
      </c>
      <c r="Q50">
        <f t="shared" si="12"/>
        <v>12</v>
      </c>
      <c r="R50">
        <f t="shared" si="13"/>
        <v>21</v>
      </c>
      <c r="S50" t="str">
        <f t="shared" si="14"/>
        <v>Games</v>
      </c>
      <c r="T50" t="str">
        <f t="shared" si="15"/>
        <v>Carol</v>
      </c>
      <c r="U50" t="str">
        <f t="shared" si="16"/>
        <v>20171024</v>
      </c>
      <c r="V50" t="str">
        <f t="shared" si="17"/>
        <v>1893</v>
      </c>
      <c r="W50" s="4">
        <f t="shared" si="18"/>
        <v>43032</v>
      </c>
      <c r="X50" s="5">
        <f t="shared" si="19"/>
        <v>1893</v>
      </c>
    </row>
    <row r="51" spans="3:24" x14ac:dyDescent="0.35">
      <c r="C51" s="2">
        <f t="shared" si="0"/>
        <v>50</v>
      </c>
      <c r="D51" t="s">
        <v>49</v>
      </c>
      <c r="E51">
        <f t="shared" si="1"/>
        <v>28</v>
      </c>
      <c r="F51" t="str">
        <f t="shared" si="2"/>
        <v xml:space="preserve">////PR:Music_SP:David20171027    $1303    </v>
      </c>
      <c r="G51">
        <f t="shared" si="3"/>
        <v>32</v>
      </c>
      <c r="H51" t="str">
        <f t="shared" si="4"/>
        <v>////PR:Music_SP:David20171027    $1303</v>
      </c>
      <c r="I51">
        <f t="shared" si="5"/>
        <v>51</v>
      </c>
      <c r="J51" t="str">
        <f t="shared" si="6"/>
        <v>PR:Music_SP:David20171027    $1303</v>
      </c>
      <c r="K51" t="str">
        <f t="shared" si="20"/>
        <v>PR:Music SP:David20171027    $1303</v>
      </c>
      <c r="L51" t="str">
        <f t="shared" si="7"/>
        <v>Music SP:David20171027    $1303</v>
      </c>
      <c r="M51" t="str">
        <f t="shared" si="8"/>
        <v>Music David20171027    $1303</v>
      </c>
      <c r="N51" t="str">
        <f t="shared" si="9"/>
        <v>Music David20171027 $1303</v>
      </c>
      <c r="O51" t="str">
        <f t="shared" si="10"/>
        <v>Music David 20171027 $1303</v>
      </c>
      <c r="P51">
        <f t="shared" si="11"/>
        <v>6</v>
      </c>
      <c r="Q51">
        <f t="shared" si="12"/>
        <v>12</v>
      </c>
      <c r="R51">
        <f t="shared" si="13"/>
        <v>21</v>
      </c>
      <c r="S51" t="str">
        <f t="shared" si="14"/>
        <v>Music</v>
      </c>
      <c r="T51" t="str">
        <f t="shared" si="15"/>
        <v>David</v>
      </c>
      <c r="U51" t="str">
        <f t="shared" si="16"/>
        <v>20171027</v>
      </c>
      <c r="V51" t="str">
        <f t="shared" si="17"/>
        <v>1303</v>
      </c>
      <c r="W51" s="4">
        <f t="shared" si="18"/>
        <v>43035</v>
      </c>
      <c r="X51" s="5">
        <f t="shared" si="19"/>
        <v>1303</v>
      </c>
    </row>
    <row r="52" spans="3:24" x14ac:dyDescent="0.35">
      <c r="C52" s="2">
        <f t="shared" si="0"/>
        <v>51</v>
      </c>
      <c r="D52" t="s">
        <v>50</v>
      </c>
      <c r="E52">
        <f t="shared" si="1"/>
        <v>28</v>
      </c>
      <c r="F52" t="str">
        <f t="shared" si="2"/>
        <v xml:space="preserve">//PR:Clothing___SP:Alice2017105 $1991     </v>
      </c>
      <c r="G52">
        <f t="shared" si="3"/>
        <v>32</v>
      </c>
      <c r="H52" t="str">
        <f t="shared" si="4"/>
        <v>//PR:Clothing___SP:Alice2017105 $1991</v>
      </c>
      <c r="I52">
        <f t="shared" si="5"/>
        <v>49</v>
      </c>
      <c r="J52" t="str">
        <f t="shared" si="6"/>
        <v>PR:Clothing___SP:Alice2017105 $1991</v>
      </c>
      <c r="K52" t="str">
        <f t="shared" si="20"/>
        <v>PR:Clothing   SP:Alice2017105 $1991</v>
      </c>
      <c r="L52" t="str">
        <f t="shared" si="7"/>
        <v>Clothing   SP:Alice2017105 $1991</v>
      </c>
      <c r="M52" t="str">
        <f t="shared" si="8"/>
        <v>Clothing   Alice2017105 $1991</v>
      </c>
      <c r="N52" t="str">
        <f t="shared" si="9"/>
        <v>Clothing Alice2017105 $1991</v>
      </c>
      <c r="O52" t="str">
        <f t="shared" si="10"/>
        <v>Clothing Alice 2017105 $1991</v>
      </c>
      <c r="P52">
        <f t="shared" si="11"/>
        <v>9</v>
      </c>
      <c r="Q52">
        <f t="shared" si="12"/>
        <v>15</v>
      </c>
      <c r="R52">
        <f t="shared" si="13"/>
        <v>23</v>
      </c>
      <c r="S52" t="str">
        <f t="shared" si="14"/>
        <v>Clothing</v>
      </c>
      <c r="T52" t="str">
        <f t="shared" si="15"/>
        <v>Alice</v>
      </c>
      <c r="U52" t="str">
        <f t="shared" si="16"/>
        <v>2017105</v>
      </c>
      <c r="V52" t="str">
        <f t="shared" si="17"/>
        <v>1991</v>
      </c>
      <c r="W52" s="4">
        <f t="shared" si="18"/>
        <v>43013</v>
      </c>
      <c r="X52" s="5">
        <f t="shared" si="19"/>
        <v>1991</v>
      </c>
    </row>
    <row r="53" spans="3:24" x14ac:dyDescent="0.35">
      <c r="C53" s="2">
        <f t="shared" si="0"/>
        <v>52</v>
      </c>
      <c r="D53" t="s">
        <v>51</v>
      </c>
      <c r="E53">
        <f t="shared" si="1"/>
        <v>31</v>
      </c>
      <c r="F53" t="str">
        <f t="shared" si="2"/>
        <v xml:space="preserve">/PR:Music__SP:David20171026 $1288  </v>
      </c>
      <c r="G53">
        <f t="shared" si="3"/>
        <v>32</v>
      </c>
      <c r="H53" t="str">
        <f t="shared" si="4"/>
        <v>/PR:Music__SP:David20171026 $1288</v>
      </c>
      <c r="I53">
        <f t="shared" si="5"/>
        <v>56</v>
      </c>
      <c r="J53" t="str">
        <f t="shared" si="6"/>
        <v>PR:Music__SP:David20171026 $1288</v>
      </c>
      <c r="K53" t="str">
        <f t="shared" si="20"/>
        <v>PR:Music  SP:David20171026 $1288</v>
      </c>
      <c r="L53" t="str">
        <f t="shared" si="7"/>
        <v>Music  SP:David20171026 $1288</v>
      </c>
      <c r="M53" t="str">
        <f t="shared" si="8"/>
        <v>Music  David20171026 $1288</v>
      </c>
      <c r="N53" t="str">
        <f t="shared" si="9"/>
        <v>Music David20171026 $1288</v>
      </c>
      <c r="O53" t="str">
        <f t="shared" si="10"/>
        <v>Music David 20171026 $1288</v>
      </c>
      <c r="P53">
        <f t="shared" si="11"/>
        <v>6</v>
      </c>
      <c r="Q53">
        <f t="shared" si="12"/>
        <v>12</v>
      </c>
      <c r="R53">
        <f t="shared" si="13"/>
        <v>21</v>
      </c>
      <c r="S53" t="str">
        <f t="shared" si="14"/>
        <v>Music</v>
      </c>
      <c r="T53" t="str">
        <f t="shared" si="15"/>
        <v>David</v>
      </c>
      <c r="U53" t="str">
        <f t="shared" si="16"/>
        <v>20171026</v>
      </c>
      <c r="V53" t="str">
        <f t="shared" si="17"/>
        <v>1288</v>
      </c>
      <c r="W53" s="4">
        <f t="shared" si="18"/>
        <v>43034</v>
      </c>
      <c r="X53" s="5">
        <f t="shared" si="19"/>
        <v>1288</v>
      </c>
    </row>
    <row r="54" spans="3:24" x14ac:dyDescent="0.35">
      <c r="C54" s="2">
        <f t="shared" si="0"/>
        <v>53</v>
      </c>
      <c r="D54" t="s">
        <v>52</v>
      </c>
      <c r="E54">
        <f t="shared" si="1"/>
        <v>29</v>
      </c>
      <c r="F54" t="str">
        <f t="shared" si="2"/>
        <v xml:space="preserve">//PR:Clothing____SP:Alice20171018 $1757 </v>
      </c>
      <c r="G54">
        <f t="shared" si="3"/>
        <v>32</v>
      </c>
      <c r="H54" t="str">
        <f t="shared" si="4"/>
        <v>//PR:Clothing____SP:Alice20171018 $1757</v>
      </c>
      <c r="I54">
        <f t="shared" si="5"/>
        <v>55</v>
      </c>
      <c r="J54" t="str">
        <f t="shared" si="6"/>
        <v>PR:Clothing____SP:Alice20171018 $1757</v>
      </c>
      <c r="K54" t="str">
        <f t="shared" si="20"/>
        <v>PR:Clothing    SP:Alice20171018 $1757</v>
      </c>
      <c r="L54" t="str">
        <f t="shared" si="7"/>
        <v>Clothing    SP:Alice20171018 $1757</v>
      </c>
      <c r="M54" t="str">
        <f t="shared" si="8"/>
        <v>Clothing    Alice20171018 $1757</v>
      </c>
      <c r="N54" t="str">
        <f t="shared" si="9"/>
        <v>Clothing Alice20171018 $1757</v>
      </c>
      <c r="O54" t="str">
        <f t="shared" si="10"/>
        <v>Clothing Alice 20171018 $1757</v>
      </c>
      <c r="P54">
        <f t="shared" si="11"/>
        <v>9</v>
      </c>
      <c r="Q54">
        <f t="shared" si="12"/>
        <v>15</v>
      </c>
      <c r="R54">
        <f t="shared" si="13"/>
        <v>24</v>
      </c>
      <c r="S54" t="str">
        <f t="shared" si="14"/>
        <v>Clothing</v>
      </c>
      <c r="T54" t="str">
        <f t="shared" si="15"/>
        <v>Alice</v>
      </c>
      <c r="U54" t="str">
        <f t="shared" si="16"/>
        <v>20171018</v>
      </c>
      <c r="V54" t="str">
        <f t="shared" si="17"/>
        <v>1757</v>
      </c>
      <c r="W54" s="4">
        <f t="shared" si="18"/>
        <v>43026</v>
      </c>
      <c r="X54" s="5">
        <f t="shared" si="19"/>
        <v>1757</v>
      </c>
    </row>
    <row r="55" spans="3:24" x14ac:dyDescent="0.35">
      <c r="C55" s="2">
        <f t="shared" si="0"/>
        <v>54</v>
      </c>
      <c r="D55" t="s">
        <v>53</v>
      </c>
      <c r="E55">
        <f t="shared" si="1"/>
        <v>29</v>
      </c>
      <c r="F55" t="str">
        <f t="shared" si="2"/>
        <v xml:space="preserve">///PR:Games____SP:Alice20171025    $2406   </v>
      </c>
      <c r="G55">
        <f t="shared" si="3"/>
        <v>32</v>
      </c>
      <c r="H55" t="str">
        <f t="shared" si="4"/>
        <v>///PR:Games____SP:Alice20171025    $2406</v>
      </c>
      <c r="I55">
        <f t="shared" si="5"/>
        <v>54</v>
      </c>
      <c r="J55" t="str">
        <f t="shared" si="6"/>
        <v>PR:Games____SP:Alice20171025    $2406</v>
      </c>
      <c r="K55" t="str">
        <f t="shared" si="20"/>
        <v>PR:Games    SP:Alice20171025    $2406</v>
      </c>
      <c r="L55" t="str">
        <f t="shared" si="7"/>
        <v>Games    SP:Alice20171025    $2406</v>
      </c>
      <c r="M55" t="str">
        <f t="shared" si="8"/>
        <v>Games    Alice20171025    $2406</v>
      </c>
      <c r="N55" t="str">
        <f t="shared" si="9"/>
        <v>Games Alice20171025 $2406</v>
      </c>
      <c r="O55" t="str">
        <f t="shared" si="10"/>
        <v>Games Alice 20171025 $2406</v>
      </c>
      <c r="P55">
        <f t="shared" si="11"/>
        <v>6</v>
      </c>
      <c r="Q55">
        <f t="shared" si="12"/>
        <v>12</v>
      </c>
      <c r="R55">
        <f t="shared" si="13"/>
        <v>21</v>
      </c>
      <c r="S55" t="str">
        <f t="shared" si="14"/>
        <v>Games</v>
      </c>
      <c r="T55" t="str">
        <f t="shared" si="15"/>
        <v>Alice</v>
      </c>
      <c r="U55" t="str">
        <f t="shared" si="16"/>
        <v>20171025</v>
      </c>
      <c r="V55" t="str">
        <f t="shared" si="17"/>
        <v>2406</v>
      </c>
      <c r="W55" s="4">
        <f t="shared" si="18"/>
        <v>43033</v>
      </c>
      <c r="X55" s="5">
        <f t="shared" si="19"/>
        <v>2406</v>
      </c>
    </row>
    <row r="56" spans="3:24" x14ac:dyDescent="0.35">
      <c r="C56" s="2">
        <f t="shared" si="0"/>
        <v>55</v>
      </c>
      <c r="D56" t="s">
        <v>54</v>
      </c>
      <c r="E56">
        <f t="shared" si="1"/>
        <v>28</v>
      </c>
      <c r="F56" t="str">
        <f t="shared" si="2"/>
        <v xml:space="preserve">////PR:Music___SP:Barney20171031    $1155 </v>
      </c>
      <c r="G56">
        <f t="shared" si="3"/>
        <v>32</v>
      </c>
      <c r="H56" t="str">
        <f t="shared" si="4"/>
        <v>////PR:Music___SP:Barney20171031    $1155</v>
      </c>
      <c r="I56">
        <f t="shared" si="5"/>
        <v>53</v>
      </c>
      <c r="J56" t="str">
        <f t="shared" si="6"/>
        <v>PR:Music___SP:Barney20171031    $1155</v>
      </c>
      <c r="K56" t="str">
        <f t="shared" si="20"/>
        <v>PR:Music   SP:Barney20171031    $1155</v>
      </c>
      <c r="L56" t="str">
        <f t="shared" si="7"/>
        <v>Music   SP:Barney20171031    $1155</v>
      </c>
      <c r="M56" t="str">
        <f t="shared" si="8"/>
        <v>Music   Barney20171031    $1155</v>
      </c>
      <c r="N56" t="str">
        <f t="shared" si="9"/>
        <v>Music Barney20171031 $1155</v>
      </c>
      <c r="O56" t="str">
        <f t="shared" si="10"/>
        <v>Music Barney 20171031 $1155</v>
      </c>
      <c r="P56">
        <f t="shared" si="11"/>
        <v>6</v>
      </c>
      <c r="Q56">
        <f t="shared" si="12"/>
        <v>13</v>
      </c>
      <c r="R56">
        <f t="shared" si="13"/>
        <v>22</v>
      </c>
      <c r="S56" t="str">
        <f t="shared" si="14"/>
        <v>Music</v>
      </c>
      <c r="T56" t="str">
        <f t="shared" si="15"/>
        <v>Barney</v>
      </c>
      <c r="U56" t="str">
        <f t="shared" si="16"/>
        <v>20171031</v>
      </c>
      <c r="V56" t="str">
        <f t="shared" si="17"/>
        <v>1155</v>
      </c>
      <c r="W56" s="4">
        <f t="shared" si="18"/>
        <v>43039</v>
      </c>
      <c r="X56" s="5">
        <f t="shared" si="19"/>
        <v>1155</v>
      </c>
    </row>
    <row r="57" spans="3:24" x14ac:dyDescent="0.35">
      <c r="C57" s="2">
        <f t="shared" si="0"/>
        <v>56</v>
      </c>
      <c r="D57" t="s">
        <v>55</v>
      </c>
      <c r="E57">
        <f t="shared" si="1"/>
        <v>28</v>
      </c>
      <c r="F57" t="str">
        <f t="shared" si="2"/>
        <v xml:space="preserve">/////PR:Games_SP:Carol20171020  $1107    </v>
      </c>
      <c r="G57">
        <f t="shared" si="3"/>
        <v>32</v>
      </c>
      <c r="H57" t="str">
        <f t="shared" si="4"/>
        <v>/////PR:Games_SP:Carol20171020  $1107</v>
      </c>
      <c r="I57">
        <f t="shared" si="5"/>
        <v>55</v>
      </c>
      <c r="J57" t="str">
        <f t="shared" si="6"/>
        <v>PR:Games_SP:Carol20171020  $1107</v>
      </c>
      <c r="K57" t="str">
        <f t="shared" si="20"/>
        <v>PR:Games SP:Carol20171020  $1107</v>
      </c>
      <c r="L57" t="str">
        <f t="shared" si="7"/>
        <v>Games SP:Carol20171020  $1107</v>
      </c>
      <c r="M57" t="str">
        <f t="shared" si="8"/>
        <v>Games Carol20171020  $1107</v>
      </c>
      <c r="N57" t="str">
        <f t="shared" si="9"/>
        <v>Games Carol20171020 $1107</v>
      </c>
      <c r="O57" t="str">
        <f t="shared" si="10"/>
        <v>Games Carol 20171020 $1107</v>
      </c>
      <c r="P57">
        <f t="shared" si="11"/>
        <v>6</v>
      </c>
      <c r="Q57">
        <f t="shared" si="12"/>
        <v>12</v>
      </c>
      <c r="R57">
        <f t="shared" si="13"/>
        <v>21</v>
      </c>
      <c r="S57" t="str">
        <f t="shared" si="14"/>
        <v>Games</v>
      </c>
      <c r="T57" t="str">
        <f t="shared" si="15"/>
        <v>Carol</v>
      </c>
      <c r="U57" t="str">
        <f t="shared" si="16"/>
        <v>20171020</v>
      </c>
      <c r="V57" t="str">
        <f t="shared" si="17"/>
        <v>1107</v>
      </c>
      <c r="W57" s="4">
        <f t="shared" si="18"/>
        <v>43028</v>
      </c>
      <c r="X57" s="5">
        <f t="shared" si="19"/>
        <v>1107</v>
      </c>
    </row>
    <row r="58" spans="3:24" x14ac:dyDescent="0.35">
      <c r="C58" s="2">
        <f t="shared" si="0"/>
        <v>57</v>
      </c>
      <c r="D58" t="s">
        <v>56</v>
      </c>
      <c r="E58">
        <f t="shared" si="1"/>
        <v>28</v>
      </c>
      <c r="F58" t="str">
        <f t="shared" si="2"/>
        <v xml:space="preserve">//PR:Clothing_SP:Alice20171015    $1986     </v>
      </c>
      <c r="G58">
        <f t="shared" si="3"/>
        <v>32</v>
      </c>
      <c r="H58" t="str">
        <f t="shared" si="4"/>
        <v>//PR:Clothing_SP:Alice20171015    $1986</v>
      </c>
      <c r="I58">
        <f t="shared" si="5"/>
        <v>54</v>
      </c>
      <c r="J58" t="str">
        <f t="shared" si="6"/>
        <v>PR:Clothing_SP:Alice20171015    $1986</v>
      </c>
      <c r="K58" t="str">
        <f t="shared" si="20"/>
        <v>PR:Clothing SP:Alice20171015    $1986</v>
      </c>
      <c r="L58" t="str">
        <f t="shared" si="7"/>
        <v>Clothing SP:Alice20171015    $1986</v>
      </c>
      <c r="M58" t="str">
        <f t="shared" si="8"/>
        <v>Clothing Alice20171015    $1986</v>
      </c>
      <c r="N58" t="str">
        <f t="shared" si="9"/>
        <v>Clothing Alice20171015 $1986</v>
      </c>
      <c r="O58" t="str">
        <f t="shared" si="10"/>
        <v>Clothing Alice 20171015 $1986</v>
      </c>
      <c r="P58">
        <f t="shared" si="11"/>
        <v>9</v>
      </c>
      <c r="Q58">
        <f t="shared" si="12"/>
        <v>15</v>
      </c>
      <c r="R58">
        <f t="shared" si="13"/>
        <v>24</v>
      </c>
      <c r="S58" t="str">
        <f t="shared" si="14"/>
        <v>Clothing</v>
      </c>
      <c r="T58" t="str">
        <f t="shared" si="15"/>
        <v>Alice</v>
      </c>
      <c r="U58" t="str">
        <f t="shared" si="16"/>
        <v>20171015</v>
      </c>
      <c r="V58" t="str">
        <f t="shared" si="17"/>
        <v>1986</v>
      </c>
      <c r="W58" s="4">
        <f t="shared" si="18"/>
        <v>43023</v>
      </c>
      <c r="X58" s="5">
        <f t="shared" si="19"/>
        <v>1986</v>
      </c>
    </row>
    <row r="59" spans="3:24" x14ac:dyDescent="0.35">
      <c r="C59" s="2">
        <f t="shared" si="0"/>
        <v>58</v>
      </c>
      <c r="D59" t="s">
        <v>57</v>
      </c>
      <c r="E59">
        <f t="shared" si="1"/>
        <v>31</v>
      </c>
      <c r="F59" t="str">
        <f t="shared" si="2"/>
        <v xml:space="preserve">////PR:Books_____SP:David20171010     $987  </v>
      </c>
      <c r="G59">
        <f t="shared" si="3"/>
        <v>32</v>
      </c>
      <c r="H59" t="str">
        <f t="shared" si="4"/>
        <v>////PR:Books_____SP:David20171010     $987</v>
      </c>
      <c r="I59">
        <f t="shared" si="5"/>
        <v>55</v>
      </c>
      <c r="J59" t="str">
        <f t="shared" si="6"/>
        <v>PR:Books_____SP:David20171010     $987</v>
      </c>
      <c r="K59" t="str">
        <f t="shared" si="20"/>
        <v>PR:Books     SP:David20171010     $987</v>
      </c>
      <c r="L59" t="str">
        <f t="shared" si="7"/>
        <v>Books     SP:David20171010     $987</v>
      </c>
      <c r="M59" t="str">
        <f t="shared" si="8"/>
        <v>Books     David20171010     $987</v>
      </c>
      <c r="N59" t="str">
        <f t="shared" si="9"/>
        <v>Books David20171010 $987</v>
      </c>
      <c r="O59" t="str">
        <f t="shared" si="10"/>
        <v>Books David 20171010 $987</v>
      </c>
      <c r="P59">
        <f t="shared" si="11"/>
        <v>6</v>
      </c>
      <c r="Q59">
        <f t="shared" si="12"/>
        <v>12</v>
      </c>
      <c r="R59">
        <f t="shared" si="13"/>
        <v>21</v>
      </c>
      <c r="S59" t="str">
        <f t="shared" si="14"/>
        <v>Books</v>
      </c>
      <c r="T59" t="str">
        <f t="shared" si="15"/>
        <v>David</v>
      </c>
      <c r="U59" t="str">
        <f t="shared" si="16"/>
        <v>20171010</v>
      </c>
      <c r="V59" t="str">
        <f t="shared" si="17"/>
        <v>987</v>
      </c>
      <c r="W59" s="4">
        <f t="shared" si="18"/>
        <v>43018</v>
      </c>
      <c r="X59" s="5">
        <f t="shared" si="19"/>
        <v>987</v>
      </c>
    </row>
    <row r="60" spans="3:24" x14ac:dyDescent="0.35">
      <c r="C60" s="2">
        <f t="shared" si="0"/>
        <v>59</v>
      </c>
      <c r="D60" t="s">
        <v>58</v>
      </c>
      <c r="E60">
        <f t="shared" si="1"/>
        <v>31</v>
      </c>
      <c r="F60" t="str">
        <f t="shared" si="2"/>
        <v xml:space="preserve">///PR:Games____SP:David20171015    $0 </v>
      </c>
      <c r="G60">
        <f t="shared" si="3"/>
        <v>32</v>
      </c>
      <c r="H60" t="str">
        <f t="shared" si="4"/>
        <v>///PR:Games____SP:David20171015    $0</v>
      </c>
      <c r="I60">
        <f t="shared" si="5"/>
        <v>48</v>
      </c>
      <c r="J60" t="str">
        <f t="shared" si="6"/>
        <v>PR:Games____SP:David20171015    $0</v>
      </c>
      <c r="K60" t="str">
        <f t="shared" si="20"/>
        <v>PR:Games    SP:David20171015    $0</v>
      </c>
      <c r="L60" t="str">
        <f t="shared" si="7"/>
        <v>Games    SP:David20171015    $0</v>
      </c>
      <c r="M60" t="str">
        <f t="shared" si="8"/>
        <v>Games    David20171015    $0</v>
      </c>
      <c r="N60" t="str">
        <f t="shared" si="9"/>
        <v>Games David20171015 $0</v>
      </c>
      <c r="O60" t="str">
        <f t="shared" si="10"/>
        <v>Games David 20171015 $0</v>
      </c>
      <c r="P60">
        <f t="shared" si="11"/>
        <v>6</v>
      </c>
      <c r="Q60">
        <f t="shared" si="12"/>
        <v>12</v>
      </c>
      <c r="R60">
        <f t="shared" si="13"/>
        <v>21</v>
      </c>
      <c r="S60" t="str">
        <f t="shared" si="14"/>
        <v>Games</v>
      </c>
      <c r="T60" t="str">
        <f t="shared" si="15"/>
        <v>David</v>
      </c>
      <c r="U60" t="str">
        <f t="shared" si="16"/>
        <v>20171015</v>
      </c>
      <c r="V60" t="str">
        <f t="shared" si="17"/>
        <v>0</v>
      </c>
      <c r="W60" s="4">
        <f t="shared" si="18"/>
        <v>43023</v>
      </c>
      <c r="X60" s="5">
        <f t="shared" si="19"/>
        <v>0</v>
      </c>
    </row>
    <row r="61" spans="3:24" x14ac:dyDescent="0.35">
      <c r="C61" s="2">
        <f t="shared" si="0"/>
        <v>60</v>
      </c>
      <c r="D61" t="s">
        <v>59</v>
      </c>
      <c r="E61">
        <f t="shared" si="1"/>
        <v>31</v>
      </c>
      <c r="F61" t="str">
        <f t="shared" si="2"/>
        <v xml:space="preserve">/////PR:Music___SP:David2017108 $1355   </v>
      </c>
      <c r="G61">
        <f t="shared" si="3"/>
        <v>32</v>
      </c>
      <c r="H61" t="str">
        <f t="shared" si="4"/>
        <v>/////PR:Music___SP:David2017108 $1355</v>
      </c>
      <c r="I61">
        <f t="shared" si="5"/>
        <v>53</v>
      </c>
      <c r="J61" t="str">
        <f t="shared" si="6"/>
        <v>PR:Music___SP:David2017108 $1355</v>
      </c>
      <c r="K61" t="str">
        <f t="shared" si="20"/>
        <v>PR:Music   SP:David2017108 $1355</v>
      </c>
      <c r="L61" t="str">
        <f t="shared" si="7"/>
        <v>Music   SP:David2017108 $1355</v>
      </c>
      <c r="M61" t="str">
        <f t="shared" si="8"/>
        <v>Music   David2017108 $1355</v>
      </c>
      <c r="N61" t="str">
        <f t="shared" si="9"/>
        <v>Music David2017108 $1355</v>
      </c>
      <c r="O61" t="str">
        <f t="shared" si="10"/>
        <v>Music David 2017108 $1355</v>
      </c>
      <c r="P61">
        <f t="shared" si="11"/>
        <v>6</v>
      </c>
      <c r="Q61">
        <f t="shared" si="12"/>
        <v>12</v>
      </c>
      <c r="R61">
        <f t="shared" si="13"/>
        <v>20</v>
      </c>
      <c r="S61" t="str">
        <f t="shared" si="14"/>
        <v>Music</v>
      </c>
      <c r="T61" t="str">
        <f t="shared" si="15"/>
        <v>David</v>
      </c>
      <c r="U61" t="str">
        <f t="shared" si="16"/>
        <v>2017108</v>
      </c>
      <c r="V61" t="str">
        <f t="shared" si="17"/>
        <v>1355</v>
      </c>
      <c r="W61" s="4">
        <f t="shared" si="18"/>
        <v>43016</v>
      </c>
      <c r="X61" s="5">
        <f t="shared" si="19"/>
        <v>1355</v>
      </c>
    </row>
    <row r="62" spans="3:24" x14ac:dyDescent="0.35">
      <c r="C62" s="2">
        <f t="shared" si="0"/>
        <v>61</v>
      </c>
      <c r="D62" t="s">
        <v>60</v>
      </c>
      <c r="E62">
        <f t="shared" si="1"/>
        <v>28</v>
      </c>
      <c r="F62" t="str">
        <f t="shared" si="2"/>
        <v xml:space="preserve">////PR:Games__SP:David20171026    $1466    </v>
      </c>
      <c r="G62">
        <f t="shared" si="3"/>
        <v>32</v>
      </c>
      <c r="H62" t="str">
        <f t="shared" si="4"/>
        <v>////PR:Games__SP:David20171026    $1466</v>
      </c>
      <c r="I62">
        <f t="shared" si="5"/>
        <v>54</v>
      </c>
      <c r="J62" t="str">
        <f t="shared" si="6"/>
        <v>PR:Games__SP:David20171026    $1466</v>
      </c>
      <c r="K62" t="str">
        <f t="shared" si="20"/>
        <v>PR:Games  SP:David20171026    $1466</v>
      </c>
      <c r="L62" t="str">
        <f t="shared" si="7"/>
        <v>Games  SP:David20171026    $1466</v>
      </c>
      <c r="M62" t="str">
        <f t="shared" si="8"/>
        <v>Games  David20171026    $1466</v>
      </c>
      <c r="N62" t="str">
        <f t="shared" si="9"/>
        <v>Games David20171026 $1466</v>
      </c>
      <c r="O62" t="str">
        <f t="shared" si="10"/>
        <v>Games David 20171026 $1466</v>
      </c>
      <c r="P62">
        <f t="shared" si="11"/>
        <v>6</v>
      </c>
      <c r="Q62">
        <f t="shared" si="12"/>
        <v>12</v>
      </c>
      <c r="R62">
        <f t="shared" si="13"/>
        <v>21</v>
      </c>
      <c r="S62" t="str">
        <f t="shared" si="14"/>
        <v>Games</v>
      </c>
      <c r="T62" t="str">
        <f t="shared" si="15"/>
        <v>David</v>
      </c>
      <c r="U62" t="str">
        <f t="shared" si="16"/>
        <v>20171026</v>
      </c>
      <c r="V62" t="str">
        <f t="shared" si="17"/>
        <v>1466</v>
      </c>
      <c r="W62" s="4">
        <f t="shared" si="18"/>
        <v>43034</v>
      </c>
      <c r="X62" s="5">
        <f t="shared" si="19"/>
        <v>1466</v>
      </c>
    </row>
    <row r="63" spans="3:24" x14ac:dyDescent="0.35">
      <c r="C63" s="2">
        <f t="shared" si="0"/>
        <v>62</v>
      </c>
      <c r="D63" t="s">
        <v>61</v>
      </c>
      <c r="E63">
        <f t="shared" si="1"/>
        <v>31</v>
      </c>
      <c r="F63" t="str">
        <f t="shared" si="2"/>
        <v xml:space="preserve">/PR:Books_____SP:Carol2017108     $591   </v>
      </c>
      <c r="G63">
        <f t="shared" si="3"/>
        <v>32</v>
      </c>
      <c r="H63" t="str">
        <f t="shared" si="4"/>
        <v>/PR:Books_____SP:Carol2017108     $591</v>
      </c>
      <c r="I63">
        <f t="shared" si="5"/>
        <v>49</v>
      </c>
      <c r="J63" t="str">
        <f t="shared" si="6"/>
        <v>PR:Books_____SP:Carol2017108     $591</v>
      </c>
      <c r="K63" t="str">
        <f t="shared" si="20"/>
        <v>PR:Books     SP:Carol2017108     $591</v>
      </c>
      <c r="L63" t="str">
        <f t="shared" si="7"/>
        <v>Books     SP:Carol2017108     $591</v>
      </c>
      <c r="M63" t="str">
        <f t="shared" si="8"/>
        <v>Books     Carol2017108     $591</v>
      </c>
      <c r="N63" t="str">
        <f t="shared" si="9"/>
        <v>Books Carol2017108 $591</v>
      </c>
      <c r="O63" t="str">
        <f t="shared" si="10"/>
        <v>Books Carol 2017108 $591</v>
      </c>
      <c r="P63">
        <f t="shared" si="11"/>
        <v>6</v>
      </c>
      <c r="Q63">
        <f t="shared" si="12"/>
        <v>12</v>
      </c>
      <c r="R63">
        <f t="shared" si="13"/>
        <v>20</v>
      </c>
      <c r="S63" t="str">
        <f t="shared" si="14"/>
        <v>Books</v>
      </c>
      <c r="T63" t="str">
        <f t="shared" si="15"/>
        <v>Carol</v>
      </c>
      <c r="U63" t="str">
        <f t="shared" si="16"/>
        <v>2017108</v>
      </c>
      <c r="V63" t="str">
        <f t="shared" si="17"/>
        <v>591</v>
      </c>
      <c r="W63" s="4">
        <f t="shared" si="18"/>
        <v>43016</v>
      </c>
      <c r="X63" s="5">
        <f t="shared" si="19"/>
        <v>591</v>
      </c>
    </row>
    <row r="64" spans="3:24" x14ac:dyDescent="0.35">
      <c r="C64" s="2">
        <f t="shared" si="0"/>
        <v>63</v>
      </c>
      <c r="D64" t="s">
        <v>62</v>
      </c>
      <c r="E64">
        <f t="shared" si="1"/>
        <v>31</v>
      </c>
      <c r="F64" t="str">
        <f t="shared" si="2"/>
        <v xml:space="preserve">////PR:Books___SP:David20171019 $564   </v>
      </c>
      <c r="G64">
        <f t="shared" si="3"/>
        <v>32</v>
      </c>
      <c r="H64" t="str">
        <f t="shared" si="4"/>
        <v>////PR:Books___SP:David20171019 $564</v>
      </c>
      <c r="I64">
        <f t="shared" si="5"/>
        <v>52</v>
      </c>
      <c r="J64" t="str">
        <f t="shared" si="6"/>
        <v>PR:Books___SP:David20171019 $564</v>
      </c>
      <c r="K64" t="str">
        <f t="shared" si="20"/>
        <v>PR:Books   SP:David20171019 $564</v>
      </c>
      <c r="L64" t="str">
        <f t="shared" si="7"/>
        <v>Books   SP:David20171019 $564</v>
      </c>
      <c r="M64" t="str">
        <f t="shared" si="8"/>
        <v>Books   David20171019 $564</v>
      </c>
      <c r="N64" t="str">
        <f t="shared" si="9"/>
        <v>Books David20171019 $564</v>
      </c>
      <c r="O64" t="str">
        <f t="shared" si="10"/>
        <v>Books David 20171019 $564</v>
      </c>
      <c r="P64">
        <f t="shared" si="11"/>
        <v>6</v>
      </c>
      <c r="Q64">
        <f t="shared" si="12"/>
        <v>12</v>
      </c>
      <c r="R64">
        <f t="shared" si="13"/>
        <v>21</v>
      </c>
      <c r="S64" t="str">
        <f t="shared" si="14"/>
        <v>Books</v>
      </c>
      <c r="T64" t="str">
        <f t="shared" si="15"/>
        <v>David</v>
      </c>
      <c r="U64" t="str">
        <f t="shared" si="16"/>
        <v>20171019</v>
      </c>
      <c r="V64" t="str">
        <f t="shared" si="17"/>
        <v>564</v>
      </c>
      <c r="W64" s="4">
        <f t="shared" si="18"/>
        <v>43027</v>
      </c>
      <c r="X64" s="5">
        <f t="shared" si="19"/>
        <v>564</v>
      </c>
    </row>
    <row r="65" spans="3:24" x14ac:dyDescent="0.35">
      <c r="C65" s="2">
        <f t="shared" si="0"/>
        <v>64</v>
      </c>
      <c r="D65" t="s">
        <v>63</v>
      </c>
      <c r="E65">
        <f t="shared" si="1"/>
        <v>31</v>
      </c>
      <c r="F65" t="str">
        <f t="shared" si="2"/>
        <v xml:space="preserve">////PR:Clothing_____SP:Barney20171020   $1875  </v>
      </c>
      <c r="G65">
        <f t="shared" si="3"/>
        <v>32</v>
      </c>
      <c r="H65" t="str">
        <f t="shared" si="4"/>
        <v>////PR:Clothing_____SP:Barney20171020   $1875</v>
      </c>
      <c r="I65">
        <f t="shared" si="5"/>
        <v>53</v>
      </c>
      <c r="J65" t="str">
        <f t="shared" si="6"/>
        <v>PR:Clothing_____SP:Barney20171020   $1875</v>
      </c>
      <c r="K65" t="str">
        <f t="shared" si="20"/>
        <v>PR:Clothing     SP:Barney20171020   $1875</v>
      </c>
      <c r="L65" t="str">
        <f t="shared" si="7"/>
        <v>Clothing     SP:Barney20171020   $1875</v>
      </c>
      <c r="M65" t="str">
        <f t="shared" si="8"/>
        <v>Clothing     Barney20171020   $1875</v>
      </c>
      <c r="N65" t="str">
        <f t="shared" si="9"/>
        <v>Clothing Barney20171020 $1875</v>
      </c>
      <c r="O65" t="str">
        <f t="shared" si="10"/>
        <v>Clothing Barney 20171020 $1875</v>
      </c>
      <c r="P65">
        <f t="shared" si="11"/>
        <v>9</v>
      </c>
      <c r="Q65">
        <f t="shared" si="12"/>
        <v>16</v>
      </c>
      <c r="R65">
        <f t="shared" si="13"/>
        <v>25</v>
      </c>
      <c r="S65" t="str">
        <f t="shared" si="14"/>
        <v>Clothing</v>
      </c>
      <c r="T65" t="str">
        <f t="shared" si="15"/>
        <v>Barney</v>
      </c>
      <c r="U65" t="str">
        <f t="shared" si="16"/>
        <v>20171020</v>
      </c>
      <c r="V65" t="str">
        <f t="shared" si="17"/>
        <v>1875</v>
      </c>
      <c r="W65" s="4">
        <f t="shared" si="18"/>
        <v>43028</v>
      </c>
      <c r="X65" s="5">
        <f t="shared" si="19"/>
        <v>1875</v>
      </c>
    </row>
    <row r="66" spans="3:24" x14ac:dyDescent="0.35">
      <c r="C66" s="2">
        <f t="shared" si="0"/>
        <v>65</v>
      </c>
      <c r="D66" t="s">
        <v>64</v>
      </c>
      <c r="E66">
        <f t="shared" si="1"/>
        <v>30</v>
      </c>
      <c r="F66" t="str">
        <f t="shared" si="2"/>
        <v xml:space="preserve">////PR:Games_____SP:Barney20171024  $0    </v>
      </c>
      <c r="G66">
        <f t="shared" si="3"/>
        <v>32</v>
      </c>
      <c r="H66" t="str">
        <f t="shared" si="4"/>
        <v>////PR:Games_____SP:Barney20171024  $0</v>
      </c>
      <c r="I66">
        <f t="shared" si="5"/>
        <v>48</v>
      </c>
      <c r="J66" t="str">
        <f t="shared" si="6"/>
        <v>PR:Games_____SP:Barney20171024  $0</v>
      </c>
      <c r="K66" t="str">
        <f t="shared" si="20"/>
        <v>PR:Games     SP:Barney20171024  $0</v>
      </c>
      <c r="L66" t="str">
        <f t="shared" si="7"/>
        <v>Games     SP:Barney20171024  $0</v>
      </c>
      <c r="M66" t="str">
        <f t="shared" si="8"/>
        <v>Games     Barney20171024  $0</v>
      </c>
      <c r="N66" t="str">
        <f t="shared" si="9"/>
        <v>Games Barney20171024 $0</v>
      </c>
      <c r="O66" t="str">
        <f t="shared" si="10"/>
        <v>Games Barney 20171024 $0</v>
      </c>
      <c r="P66">
        <f t="shared" si="11"/>
        <v>6</v>
      </c>
      <c r="Q66">
        <f t="shared" si="12"/>
        <v>13</v>
      </c>
      <c r="R66">
        <f t="shared" si="13"/>
        <v>22</v>
      </c>
      <c r="S66" t="str">
        <f t="shared" si="14"/>
        <v>Games</v>
      </c>
      <c r="T66" t="str">
        <f t="shared" si="15"/>
        <v>Barney</v>
      </c>
      <c r="U66" t="str">
        <f t="shared" si="16"/>
        <v>20171024</v>
      </c>
      <c r="V66" t="str">
        <f t="shared" si="17"/>
        <v>0</v>
      </c>
      <c r="W66" s="4">
        <f t="shared" si="18"/>
        <v>43032</v>
      </c>
      <c r="X66" s="5">
        <f t="shared" si="19"/>
        <v>0</v>
      </c>
    </row>
    <row r="67" spans="3:24" x14ac:dyDescent="0.35">
      <c r="C67" s="2">
        <f t="shared" ref="C67:C130" si="21">C66+1</f>
        <v>66</v>
      </c>
      <c r="D67" t="s">
        <v>65</v>
      </c>
      <c r="E67">
        <f t="shared" ref="E67:E130" si="22">CODE(RIGHT(D67,1))</f>
        <v>30</v>
      </c>
      <c r="F67" t="str">
        <f t="shared" ref="F67:F130" si="23">CLEAN(D67)</f>
        <v xml:space="preserve">/PR:Clothing_____SP:David2017107  $1564   </v>
      </c>
      <c r="G67">
        <f t="shared" ref="G67:G130" si="24">CODE(RIGHT(F67,1))</f>
        <v>32</v>
      </c>
      <c r="H67" t="str">
        <f t="shared" ref="H67:H130" si="25">TRIM(F67)</f>
        <v>/PR:Clothing_____SP:David2017107  $1564</v>
      </c>
      <c r="I67">
        <f t="shared" ref="I67:I130" si="26">CODE(RIGHT(H67,1))</f>
        <v>52</v>
      </c>
      <c r="J67" t="str">
        <f t="shared" ref="J67:J130" si="27">SUBSTITUTE(H67,"/","")</f>
        <v>PR:Clothing_____SP:David2017107  $1564</v>
      </c>
      <c r="K67" t="str">
        <f t="shared" ref="K67:K130" si="28">SUBSTITUTE(J67,"_"," ")</f>
        <v>PR:Clothing     SP:David2017107  $1564</v>
      </c>
      <c r="L67" t="str">
        <f t="shared" ref="L67:L130" si="29">SUBSTITUTE(K67,"PR:","")</f>
        <v>Clothing     SP:David2017107  $1564</v>
      </c>
      <c r="M67" t="str">
        <f t="shared" ref="M67:M130" si="30">SUBSTITUTE(L67,"SP:","")</f>
        <v>Clothing     David2017107  $1564</v>
      </c>
      <c r="N67" t="str">
        <f t="shared" ref="N67:N130" si="31">TRIM(SUBSTITUTE(M67,CHAR(160)," "))</f>
        <v>Clothing David2017107 $1564</v>
      </c>
      <c r="O67" t="str">
        <f t="shared" ref="O67:O130" si="32">SUBSTITUTE(N67,"2017"," 2017")</f>
        <v>Clothing David 2017107 $1564</v>
      </c>
      <c r="P67">
        <f t="shared" ref="P67:P130" si="33">SEARCH(" ",O67,1)</f>
        <v>9</v>
      </c>
      <c r="Q67">
        <f t="shared" ref="Q67:Q130" si="34">SEARCH(" ",O67,P67+1)</f>
        <v>15</v>
      </c>
      <c r="R67">
        <f t="shared" ref="R67:R130" si="35">SEARCH(" ",O67,Q67+1)</f>
        <v>23</v>
      </c>
      <c r="S67" t="str">
        <f t="shared" ref="S67:S130" si="36">LEFT(O67,P67-1)</f>
        <v>Clothing</v>
      </c>
      <c r="T67" t="str">
        <f t="shared" ref="T67:T130" si="37">MID(O67,P67+1,Q67-P67-1)</f>
        <v>David</v>
      </c>
      <c r="U67" t="str">
        <f t="shared" ref="U67:U130" si="38">MID(O67,Q67+1,R67-Q67-1)</f>
        <v>2017107</v>
      </c>
      <c r="V67" t="str">
        <f t="shared" ref="V67:V130" si="39">MID(O67,R67+2,99)</f>
        <v>1564</v>
      </c>
      <c r="W67" s="4">
        <f t="shared" ref="W67:W130" si="40">DATE(2017,10,MID(U67,7,2))</f>
        <v>43015</v>
      </c>
      <c r="X67" s="5">
        <f t="shared" ref="X67:X130" si="41">VALUE(V67)</f>
        <v>1564</v>
      </c>
    </row>
    <row r="68" spans="3:24" x14ac:dyDescent="0.35">
      <c r="C68" s="2">
        <f t="shared" si="21"/>
        <v>67</v>
      </c>
      <c r="D68" t="s">
        <v>66</v>
      </c>
      <c r="E68">
        <f t="shared" si="22"/>
        <v>30</v>
      </c>
      <c r="F68" t="str">
        <f t="shared" si="23"/>
        <v xml:space="preserve">///PR:Games___SP:Carol2017107   $0     </v>
      </c>
      <c r="G68">
        <f t="shared" si="24"/>
        <v>32</v>
      </c>
      <c r="H68" t="str">
        <f t="shared" si="25"/>
        <v>///PR:Games___SP:Carol2017107   $0</v>
      </c>
      <c r="I68">
        <f t="shared" si="26"/>
        <v>48</v>
      </c>
      <c r="J68" t="str">
        <f t="shared" si="27"/>
        <v>PR:Games___SP:Carol2017107   $0</v>
      </c>
      <c r="K68" t="str">
        <f t="shared" si="28"/>
        <v>PR:Games   SP:Carol2017107   $0</v>
      </c>
      <c r="L68" t="str">
        <f t="shared" si="29"/>
        <v>Games   SP:Carol2017107   $0</v>
      </c>
      <c r="M68" t="str">
        <f t="shared" si="30"/>
        <v>Games   Carol2017107   $0</v>
      </c>
      <c r="N68" t="str">
        <f t="shared" si="31"/>
        <v>Games Carol2017107 $0</v>
      </c>
      <c r="O68" t="str">
        <f t="shared" si="32"/>
        <v>Games Carol 2017107 $0</v>
      </c>
      <c r="P68">
        <f t="shared" si="33"/>
        <v>6</v>
      </c>
      <c r="Q68">
        <f t="shared" si="34"/>
        <v>12</v>
      </c>
      <c r="R68">
        <f t="shared" si="35"/>
        <v>20</v>
      </c>
      <c r="S68" t="str">
        <f t="shared" si="36"/>
        <v>Games</v>
      </c>
      <c r="T68" t="str">
        <f t="shared" si="37"/>
        <v>Carol</v>
      </c>
      <c r="U68" t="str">
        <f t="shared" si="38"/>
        <v>2017107</v>
      </c>
      <c r="V68" t="str">
        <f t="shared" si="39"/>
        <v>0</v>
      </c>
      <c r="W68" s="4">
        <f t="shared" si="40"/>
        <v>43015</v>
      </c>
      <c r="X68" s="5">
        <f t="shared" si="41"/>
        <v>0</v>
      </c>
    </row>
    <row r="69" spans="3:24" x14ac:dyDescent="0.35">
      <c r="C69" s="2">
        <f t="shared" si="21"/>
        <v>68</v>
      </c>
      <c r="D69" t="s">
        <v>67</v>
      </c>
      <c r="E69">
        <f t="shared" si="22"/>
        <v>31</v>
      </c>
      <c r="F69" t="str">
        <f t="shared" si="23"/>
        <v xml:space="preserve">/////PR:Books_____SP:Carol20171019  $0     </v>
      </c>
      <c r="G69">
        <f t="shared" si="24"/>
        <v>32</v>
      </c>
      <c r="H69" t="str">
        <f t="shared" si="25"/>
        <v>/////PR:Books_____SP:Carol20171019  $0</v>
      </c>
      <c r="I69">
        <f t="shared" si="26"/>
        <v>48</v>
      </c>
      <c r="J69" t="str">
        <f t="shared" si="27"/>
        <v>PR:Books_____SP:Carol20171019  $0</v>
      </c>
      <c r="K69" t="str">
        <f t="shared" si="28"/>
        <v>PR:Books     SP:Carol20171019  $0</v>
      </c>
      <c r="L69" t="str">
        <f t="shared" si="29"/>
        <v>Books     SP:Carol20171019  $0</v>
      </c>
      <c r="M69" t="str">
        <f t="shared" si="30"/>
        <v>Books     Carol20171019  $0</v>
      </c>
      <c r="N69" t="str">
        <f t="shared" si="31"/>
        <v>Books Carol20171019 $0</v>
      </c>
      <c r="O69" t="str">
        <f t="shared" si="32"/>
        <v>Books Carol 20171019 $0</v>
      </c>
      <c r="P69">
        <f t="shared" si="33"/>
        <v>6</v>
      </c>
      <c r="Q69">
        <f t="shared" si="34"/>
        <v>12</v>
      </c>
      <c r="R69">
        <f t="shared" si="35"/>
        <v>21</v>
      </c>
      <c r="S69" t="str">
        <f t="shared" si="36"/>
        <v>Books</v>
      </c>
      <c r="T69" t="str">
        <f t="shared" si="37"/>
        <v>Carol</v>
      </c>
      <c r="U69" t="str">
        <f t="shared" si="38"/>
        <v>20171019</v>
      </c>
      <c r="V69" t="str">
        <f t="shared" si="39"/>
        <v>0</v>
      </c>
      <c r="W69" s="4">
        <f t="shared" si="40"/>
        <v>43027</v>
      </c>
      <c r="X69" s="5">
        <f t="shared" si="41"/>
        <v>0</v>
      </c>
    </row>
    <row r="70" spans="3:24" x14ac:dyDescent="0.35">
      <c r="C70" s="2">
        <f t="shared" si="21"/>
        <v>69</v>
      </c>
      <c r="D70" t="s">
        <v>68</v>
      </c>
      <c r="E70">
        <f t="shared" si="22"/>
        <v>29</v>
      </c>
      <c r="F70" t="str">
        <f t="shared" si="23"/>
        <v xml:space="preserve">////PR:Games____SP:Carol20171010 $0    </v>
      </c>
      <c r="G70">
        <f t="shared" si="24"/>
        <v>32</v>
      </c>
      <c r="H70" t="str">
        <f t="shared" si="25"/>
        <v>////PR:Games____SP:Carol20171010 $0</v>
      </c>
      <c r="I70">
        <f t="shared" si="26"/>
        <v>48</v>
      </c>
      <c r="J70" t="str">
        <f t="shared" si="27"/>
        <v>PR:Games____SP:Carol20171010 $0</v>
      </c>
      <c r="K70" t="str">
        <f t="shared" si="28"/>
        <v>PR:Games    SP:Carol20171010 $0</v>
      </c>
      <c r="L70" t="str">
        <f t="shared" si="29"/>
        <v>Games    SP:Carol20171010 $0</v>
      </c>
      <c r="M70" t="str">
        <f t="shared" si="30"/>
        <v>Games    Carol20171010 $0</v>
      </c>
      <c r="N70" t="str">
        <f t="shared" si="31"/>
        <v>Games Carol20171010 $0</v>
      </c>
      <c r="O70" t="str">
        <f t="shared" si="32"/>
        <v>Games Carol 20171010 $0</v>
      </c>
      <c r="P70">
        <f t="shared" si="33"/>
        <v>6</v>
      </c>
      <c r="Q70">
        <f t="shared" si="34"/>
        <v>12</v>
      </c>
      <c r="R70">
        <f t="shared" si="35"/>
        <v>21</v>
      </c>
      <c r="S70" t="str">
        <f t="shared" si="36"/>
        <v>Games</v>
      </c>
      <c r="T70" t="str">
        <f t="shared" si="37"/>
        <v>Carol</v>
      </c>
      <c r="U70" t="str">
        <f t="shared" si="38"/>
        <v>20171010</v>
      </c>
      <c r="V70" t="str">
        <f t="shared" si="39"/>
        <v>0</v>
      </c>
      <c r="W70" s="4">
        <f t="shared" si="40"/>
        <v>43018</v>
      </c>
      <c r="X70" s="5">
        <f t="shared" si="41"/>
        <v>0</v>
      </c>
    </row>
    <row r="71" spans="3:24" x14ac:dyDescent="0.35">
      <c r="C71" s="2">
        <f t="shared" si="21"/>
        <v>70</v>
      </c>
      <c r="D71" t="s">
        <v>69</v>
      </c>
      <c r="E71">
        <f t="shared" si="22"/>
        <v>31</v>
      </c>
      <c r="F71" t="str">
        <f t="shared" si="23"/>
        <v xml:space="preserve">/////PR:Music___SP:Barney20171020   $0 </v>
      </c>
      <c r="G71">
        <f t="shared" si="24"/>
        <v>32</v>
      </c>
      <c r="H71" t="str">
        <f t="shared" si="25"/>
        <v>/////PR:Music___SP:Barney20171020   $0</v>
      </c>
      <c r="I71">
        <f t="shared" si="26"/>
        <v>48</v>
      </c>
      <c r="J71" t="str">
        <f t="shared" si="27"/>
        <v>PR:Music___SP:Barney20171020   $0</v>
      </c>
      <c r="K71" t="str">
        <f t="shared" si="28"/>
        <v>PR:Music   SP:Barney20171020   $0</v>
      </c>
      <c r="L71" t="str">
        <f t="shared" si="29"/>
        <v>Music   SP:Barney20171020   $0</v>
      </c>
      <c r="M71" t="str">
        <f t="shared" si="30"/>
        <v>Music   Barney20171020   $0</v>
      </c>
      <c r="N71" t="str">
        <f t="shared" si="31"/>
        <v>Music Barney20171020 $0</v>
      </c>
      <c r="O71" t="str">
        <f t="shared" si="32"/>
        <v>Music Barney 20171020 $0</v>
      </c>
      <c r="P71">
        <f t="shared" si="33"/>
        <v>6</v>
      </c>
      <c r="Q71">
        <f t="shared" si="34"/>
        <v>13</v>
      </c>
      <c r="R71">
        <f t="shared" si="35"/>
        <v>22</v>
      </c>
      <c r="S71" t="str">
        <f t="shared" si="36"/>
        <v>Music</v>
      </c>
      <c r="T71" t="str">
        <f t="shared" si="37"/>
        <v>Barney</v>
      </c>
      <c r="U71" t="str">
        <f t="shared" si="38"/>
        <v>20171020</v>
      </c>
      <c r="V71" t="str">
        <f t="shared" si="39"/>
        <v>0</v>
      </c>
      <c r="W71" s="4">
        <f t="shared" si="40"/>
        <v>43028</v>
      </c>
      <c r="X71" s="5">
        <f t="shared" si="41"/>
        <v>0</v>
      </c>
    </row>
    <row r="72" spans="3:24" x14ac:dyDescent="0.35">
      <c r="C72" s="2">
        <f t="shared" si="21"/>
        <v>71</v>
      </c>
      <c r="D72" t="s">
        <v>70</v>
      </c>
      <c r="E72">
        <f t="shared" si="22"/>
        <v>30</v>
      </c>
      <c r="F72" t="str">
        <f t="shared" si="23"/>
        <v xml:space="preserve">/PR:Books__SP:Carol20171021 $582  </v>
      </c>
      <c r="G72">
        <f t="shared" si="24"/>
        <v>32</v>
      </c>
      <c r="H72" t="str">
        <f t="shared" si="25"/>
        <v>/PR:Books__SP:Carol20171021 $582</v>
      </c>
      <c r="I72">
        <f t="shared" si="26"/>
        <v>50</v>
      </c>
      <c r="J72" t="str">
        <f t="shared" si="27"/>
        <v>PR:Books__SP:Carol20171021 $582</v>
      </c>
      <c r="K72" t="str">
        <f t="shared" si="28"/>
        <v>PR:Books  SP:Carol20171021 $582</v>
      </c>
      <c r="L72" t="str">
        <f t="shared" si="29"/>
        <v>Books  SP:Carol20171021 $582</v>
      </c>
      <c r="M72" t="str">
        <f t="shared" si="30"/>
        <v>Books  Carol20171021 $582</v>
      </c>
      <c r="N72" t="str">
        <f t="shared" si="31"/>
        <v>Books Carol20171021 $582</v>
      </c>
      <c r="O72" t="str">
        <f t="shared" si="32"/>
        <v>Books Carol 20171021 $582</v>
      </c>
      <c r="P72">
        <f t="shared" si="33"/>
        <v>6</v>
      </c>
      <c r="Q72">
        <f t="shared" si="34"/>
        <v>12</v>
      </c>
      <c r="R72">
        <f t="shared" si="35"/>
        <v>21</v>
      </c>
      <c r="S72" t="str">
        <f t="shared" si="36"/>
        <v>Books</v>
      </c>
      <c r="T72" t="str">
        <f t="shared" si="37"/>
        <v>Carol</v>
      </c>
      <c r="U72" t="str">
        <f t="shared" si="38"/>
        <v>20171021</v>
      </c>
      <c r="V72" t="str">
        <f t="shared" si="39"/>
        <v>582</v>
      </c>
      <c r="W72" s="4">
        <f t="shared" si="40"/>
        <v>43029</v>
      </c>
      <c r="X72" s="5">
        <f t="shared" si="41"/>
        <v>582</v>
      </c>
    </row>
    <row r="73" spans="3:24" x14ac:dyDescent="0.35">
      <c r="C73" s="2">
        <f t="shared" si="21"/>
        <v>72</v>
      </c>
      <c r="D73" t="s">
        <v>71</v>
      </c>
      <c r="E73">
        <f t="shared" si="22"/>
        <v>30</v>
      </c>
      <c r="F73" t="str">
        <f t="shared" si="23"/>
        <v xml:space="preserve">/////PR:Clothing____SP:Carol20171013   $0   </v>
      </c>
      <c r="G73">
        <f t="shared" si="24"/>
        <v>32</v>
      </c>
      <c r="H73" t="str">
        <f t="shared" si="25"/>
        <v>/////PR:Clothing____SP:Carol20171013   $0</v>
      </c>
      <c r="I73">
        <f t="shared" si="26"/>
        <v>48</v>
      </c>
      <c r="J73" t="str">
        <f t="shared" si="27"/>
        <v>PR:Clothing____SP:Carol20171013   $0</v>
      </c>
      <c r="K73" t="str">
        <f t="shared" si="28"/>
        <v>PR:Clothing    SP:Carol20171013   $0</v>
      </c>
      <c r="L73" t="str">
        <f t="shared" si="29"/>
        <v>Clothing    SP:Carol20171013   $0</v>
      </c>
      <c r="M73" t="str">
        <f t="shared" si="30"/>
        <v>Clothing    Carol20171013   $0</v>
      </c>
      <c r="N73" t="str">
        <f t="shared" si="31"/>
        <v>Clothing Carol20171013 $0</v>
      </c>
      <c r="O73" t="str">
        <f t="shared" si="32"/>
        <v>Clothing Carol 20171013 $0</v>
      </c>
      <c r="P73">
        <f t="shared" si="33"/>
        <v>9</v>
      </c>
      <c r="Q73">
        <f t="shared" si="34"/>
        <v>15</v>
      </c>
      <c r="R73">
        <f t="shared" si="35"/>
        <v>24</v>
      </c>
      <c r="S73" t="str">
        <f t="shared" si="36"/>
        <v>Clothing</v>
      </c>
      <c r="T73" t="str">
        <f t="shared" si="37"/>
        <v>Carol</v>
      </c>
      <c r="U73" t="str">
        <f t="shared" si="38"/>
        <v>20171013</v>
      </c>
      <c r="V73" t="str">
        <f t="shared" si="39"/>
        <v>0</v>
      </c>
      <c r="W73" s="4">
        <f t="shared" si="40"/>
        <v>43021</v>
      </c>
      <c r="X73" s="5">
        <f t="shared" si="41"/>
        <v>0</v>
      </c>
    </row>
    <row r="74" spans="3:24" x14ac:dyDescent="0.35">
      <c r="C74" s="2">
        <f t="shared" si="21"/>
        <v>73</v>
      </c>
      <c r="D74" t="s">
        <v>72</v>
      </c>
      <c r="E74">
        <f t="shared" si="22"/>
        <v>29</v>
      </c>
      <c r="F74" t="str">
        <f t="shared" si="23"/>
        <v xml:space="preserve">///PR:Games___SP:Carol2017109  $893   </v>
      </c>
      <c r="G74">
        <f t="shared" si="24"/>
        <v>32</v>
      </c>
      <c r="H74" t="str">
        <f t="shared" si="25"/>
        <v>///PR:Games___SP:Carol2017109  $893</v>
      </c>
      <c r="I74">
        <f t="shared" si="26"/>
        <v>51</v>
      </c>
      <c r="J74" t="str">
        <f t="shared" si="27"/>
        <v>PR:Games___SP:Carol2017109  $893</v>
      </c>
      <c r="K74" t="str">
        <f t="shared" si="28"/>
        <v>PR:Games   SP:Carol2017109  $893</v>
      </c>
      <c r="L74" t="str">
        <f t="shared" si="29"/>
        <v>Games   SP:Carol2017109  $893</v>
      </c>
      <c r="M74" t="str">
        <f t="shared" si="30"/>
        <v>Games   Carol2017109  $893</v>
      </c>
      <c r="N74" t="str">
        <f t="shared" si="31"/>
        <v>Games Carol2017109 $893</v>
      </c>
      <c r="O74" t="str">
        <f t="shared" si="32"/>
        <v>Games Carol 2017109 $893</v>
      </c>
      <c r="P74">
        <f t="shared" si="33"/>
        <v>6</v>
      </c>
      <c r="Q74">
        <f t="shared" si="34"/>
        <v>12</v>
      </c>
      <c r="R74">
        <f t="shared" si="35"/>
        <v>20</v>
      </c>
      <c r="S74" t="str">
        <f t="shared" si="36"/>
        <v>Games</v>
      </c>
      <c r="T74" t="str">
        <f t="shared" si="37"/>
        <v>Carol</v>
      </c>
      <c r="U74" t="str">
        <f t="shared" si="38"/>
        <v>2017109</v>
      </c>
      <c r="V74" t="str">
        <f t="shared" si="39"/>
        <v>893</v>
      </c>
      <c r="W74" s="4">
        <f t="shared" si="40"/>
        <v>43017</v>
      </c>
      <c r="X74" s="5">
        <f t="shared" si="41"/>
        <v>893</v>
      </c>
    </row>
    <row r="75" spans="3:24" x14ac:dyDescent="0.35">
      <c r="C75" s="2">
        <f t="shared" si="21"/>
        <v>74</v>
      </c>
      <c r="D75" t="s">
        <v>73</v>
      </c>
      <c r="E75">
        <f t="shared" si="22"/>
        <v>29</v>
      </c>
      <c r="F75" t="str">
        <f t="shared" si="23"/>
        <v xml:space="preserve">//PR:Music_____SP:Alice20171012  $1447     </v>
      </c>
      <c r="G75">
        <f t="shared" si="24"/>
        <v>32</v>
      </c>
      <c r="H75" t="str">
        <f t="shared" si="25"/>
        <v>//PR:Music_____SP:Alice20171012  $1447</v>
      </c>
      <c r="I75">
        <f t="shared" si="26"/>
        <v>55</v>
      </c>
      <c r="J75" t="str">
        <f t="shared" si="27"/>
        <v>PR:Music_____SP:Alice20171012  $1447</v>
      </c>
      <c r="K75" t="str">
        <f t="shared" si="28"/>
        <v>PR:Music     SP:Alice20171012  $1447</v>
      </c>
      <c r="L75" t="str">
        <f t="shared" si="29"/>
        <v>Music     SP:Alice20171012  $1447</v>
      </c>
      <c r="M75" t="str">
        <f t="shared" si="30"/>
        <v>Music     Alice20171012  $1447</v>
      </c>
      <c r="N75" t="str">
        <f t="shared" si="31"/>
        <v>Music Alice20171012 $1447</v>
      </c>
      <c r="O75" t="str">
        <f t="shared" si="32"/>
        <v>Music Alice 20171012 $1447</v>
      </c>
      <c r="P75">
        <f t="shared" si="33"/>
        <v>6</v>
      </c>
      <c r="Q75">
        <f t="shared" si="34"/>
        <v>12</v>
      </c>
      <c r="R75">
        <f t="shared" si="35"/>
        <v>21</v>
      </c>
      <c r="S75" t="str">
        <f t="shared" si="36"/>
        <v>Music</v>
      </c>
      <c r="T75" t="str">
        <f t="shared" si="37"/>
        <v>Alice</v>
      </c>
      <c r="U75" t="str">
        <f t="shared" si="38"/>
        <v>20171012</v>
      </c>
      <c r="V75" t="str">
        <f t="shared" si="39"/>
        <v>1447</v>
      </c>
      <c r="W75" s="4">
        <f t="shared" si="40"/>
        <v>43020</v>
      </c>
      <c r="X75" s="5">
        <f t="shared" si="41"/>
        <v>1447</v>
      </c>
    </row>
    <row r="76" spans="3:24" x14ac:dyDescent="0.35">
      <c r="C76" s="2">
        <f t="shared" si="21"/>
        <v>75</v>
      </c>
      <c r="D76" t="s">
        <v>74</v>
      </c>
      <c r="E76">
        <f t="shared" si="22"/>
        <v>29</v>
      </c>
      <c r="F76" t="str">
        <f t="shared" si="23"/>
        <v xml:space="preserve">/////PR:Clothing_____SP:Barney20171024    $1395     </v>
      </c>
      <c r="G76">
        <f t="shared" si="24"/>
        <v>32</v>
      </c>
      <c r="H76" t="str">
        <f t="shared" si="25"/>
        <v>/////PR:Clothing_____SP:Barney20171024    $1395</v>
      </c>
      <c r="I76">
        <f t="shared" si="26"/>
        <v>53</v>
      </c>
      <c r="J76" t="str">
        <f t="shared" si="27"/>
        <v>PR:Clothing_____SP:Barney20171024    $1395</v>
      </c>
      <c r="K76" t="str">
        <f t="shared" si="28"/>
        <v>PR:Clothing     SP:Barney20171024    $1395</v>
      </c>
      <c r="L76" t="str">
        <f t="shared" si="29"/>
        <v>Clothing     SP:Barney20171024    $1395</v>
      </c>
      <c r="M76" t="str">
        <f t="shared" si="30"/>
        <v>Clothing     Barney20171024    $1395</v>
      </c>
      <c r="N76" t="str">
        <f t="shared" si="31"/>
        <v>Clothing Barney20171024 $1395</v>
      </c>
      <c r="O76" t="str">
        <f t="shared" si="32"/>
        <v>Clothing Barney 20171024 $1395</v>
      </c>
      <c r="P76">
        <f t="shared" si="33"/>
        <v>9</v>
      </c>
      <c r="Q76">
        <f t="shared" si="34"/>
        <v>16</v>
      </c>
      <c r="R76">
        <f t="shared" si="35"/>
        <v>25</v>
      </c>
      <c r="S76" t="str">
        <f t="shared" si="36"/>
        <v>Clothing</v>
      </c>
      <c r="T76" t="str">
        <f t="shared" si="37"/>
        <v>Barney</v>
      </c>
      <c r="U76" t="str">
        <f t="shared" si="38"/>
        <v>20171024</v>
      </c>
      <c r="V76" t="str">
        <f t="shared" si="39"/>
        <v>1395</v>
      </c>
      <c r="W76" s="4">
        <f t="shared" si="40"/>
        <v>43032</v>
      </c>
      <c r="X76" s="5">
        <f t="shared" si="41"/>
        <v>1395</v>
      </c>
    </row>
    <row r="77" spans="3:24" x14ac:dyDescent="0.35">
      <c r="C77" s="2">
        <f t="shared" si="21"/>
        <v>76</v>
      </c>
      <c r="D77" t="s">
        <v>75</v>
      </c>
      <c r="E77">
        <f t="shared" si="22"/>
        <v>28</v>
      </c>
      <c r="F77" t="str">
        <f t="shared" si="23"/>
        <v xml:space="preserve">//PR:Clothing_____SP:Alice20171025     $729  </v>
      </c>
      <c r="G77">
        <f t="shared" si="24"/>
        <v>32</v>
      </c>
      <c r="H77" t="str">
        <f t="shared" si="25"/>
        <v>//PR:Clothing_____SP:Alice20171025     $729</v>
      </c>
      <c r="I77">
        <f t="shared" si="26"/>
        <v>57</v>
      </c>
      <c r="J77" t="str">
        <f t="shared" si="27"/>
        <v>PR:Clothing_____SP:Alice20171025     $729</v>
      </c>
      <c r="K77" t="str">
        <f t="shared" si="28"/>
        <v>PR:Clothing     SP:Alice20171025     $729</v>
      </c>
      <c r="L77" t="str">
        <f t="shared" si="29"/>
        <v>Clothing     SP:Alice20171025     $729</v>
      </c>
      <c r="M77" t="str">
        <f t="shared" si="30"/>
        <v>Clothing     Alice20171025     $729</v>
      </c>
      <c r="N77" t="str">
        <f t="shared" si="31"/>
        <v>Clothing Alice20171025 $729</v>
      </c>
      <c r="O77" t="str">
        <f t="shared" si="32"/>
        <v>Clothing Alice 20171025 $729</v>
      </c>
      <c r="P77">
        <f t="shared" si="33"/>
        <v>9</v>
      </c>
      <c r="Q77">
        <f t="shared" si="34"/>
        <v>15</v>
      </c>
      <c r="R77">
        <f t="shared" si="35"/>
        <v>24</v>
      </c>
      <c r="S77" t="str">
        <f t="shared" si="36"/>
        <v>Clothing</v>
      </c>
      <c r="T77" t="str">
        <f t="shared" si="37"/>
        <v>Alice</v>
      </c>
      <c r="U77" t="str">
        <f t="shared" si="38"/>
        <v>20171025</v>
      </c>
      <c r="V77" t="str">
        <f t="shared" si="39"/>
        <v>729</v>
      </c>
      <c r="W77" s="4">
        <f t="shared" si="40"/>
        <v>43033</v>
      </c>
      <c r="X77" s="5">
        <f t="shared" si="41"/>
        <v>729</v>
      </c>
    </row>
    <row r="78" spans="3:24" x14ac:dyDescent="0.35">
      <c r="C78" s="2">
        <f t="shared" si="21"/>
        <v>77</v>
      </c>
      <c r="D78" t="s">
        <v>76</v>
      </c>
      <c r="E78">
        <f t="shared" si="22"/>
        <v>30</v>
      </c>
      <c r="F78" t="str">
        <f t="shared" si="23"/>
        <v xml:space="preserve">////PR:Clothing___SP:Carol2017104     $819   </v>
      </c>
      <c r="G78">
        <f t="shared" si="24"/>
        <v>32</v>
      </c>
      <c r="H78" t="str">
        <f t="shared" si="25"/>
        <v>////PR:Clothing___SP:Carol2017104     $819</v>
      </c>
      <c r="I78">
        <f t="shared" si="26"/>
        <v>57</v>
      </c>
      <c r="J78" t="str">
        <f t="shared" si="27"/>
        <v>PR:Clothing___SP:Carol2017104     $819</v>
      </c>
      <c r="K78" t="str">
        <f t="shared" si="28"/>
        <v>PR:Clothing   SP:Carol2017104     $819</v>
      </c>
      <c r="L78" t="str">
        <f t="shared" si="29"/>
        <v>Clothing   SP:Carol2017104     $819</v>
      </c>
      <c r="M78" t="str">
        <f t="shared" si="30"/>
        <v>Clothing   Carol2017104     $819</v>
      </c>
      <c r="N78" t="str">
        <f t="shared" si="31"/>
        <v>Clothing Carol2017104 $819</v>
      </c>
      <c r="O78" t="str">
        <f t="shared" si="32"/>
        <v>Clothing Carol 2017104 $819</v>
      </c>
      <c r="P78">
        <f t="shared" si="33"/>
        <v>9</v>
      </c>
      <c r="Q78">
        <f t="shared" si="34"/>
        <v>15</v>
      </c>
      <c r="R78">
        <f t="shared" si="35"/>
        <v>23</v>
      </c>
      <c r="S78" t="str">
        <f t="shared" si="36"/>
        <v>Clothing</v>
      </c>
      <c r="T78" t="str">
        <f t="shared" si="37"/>
        <v>Carol</v>
      </c>
      <c r="U78" t="str">
        <f t="shared" si="38"/>
        <v>2017104</v>
      </c>
      <c r="V78" t="str">
        <f t="shared" si="39"/>
        <v>819</v>
      </c>
      <c r="W78" s="4">
        <f t="shared" si="40"/>
        <v>43012</v>
      </c>
      <c r="X78" s="5">
        <f t="shared" si="41"/>
        <v>819</v>
      </c>
    </row>
    <row r="79" spans="3:24" x14ac:dyDescent="0.35">
      <c r="C79" s="2">
        <f t="shared" si="21"/>
        <v>78</v>
      </c>
      <c r="D79" t="s">
        <v>77</v>
      </c>
      <c r="E79">
        <f t="shared" si="22"/>
        <v>28</v>
      </c>
      <c r="F79" t="str">
        <f t="shared" si="23"/>
        <v xml:space="preserve">/PR:Clothing__SP:David20171024     $0   </v>
      </c>
      <c r="G79">
        <f t="shared" si="24"/>
        <v>32</v>
      </c>
      <c r="H79" t="str">
        <f t="shared" si="25"/>
        <v>/PR:Clothing__SP:David20171024     $0</v>
      </c>
      <c r="I79">
        <f t="shared" si="26"/>
        <v>48</v>
      </c>
      <c r="J79" t="str">
        <f t="shared" si="27"/>
        <v>PR:Clothing__SP:David20171024     $0</v>
      </c>
      <c r="K79" t="str">
        <f t="shared" si="28"/>
        <v>PR:Clothing  SP:David20171024     $0</v>
      </c>
      <c r="L79" t="str">
        <f t="shared" si="29"/>
        <v>Clothing  SP:David20171024     $0</v>
      </c>
      <c r="M79" t="str">
        <f t="shared" si="30"/>
        <v>Clothing  David20171024     $0</v>
      </c>
      <c r="N79" t="str">
        <f t="shared" si="31"/>
        <v>Clothing David20171024 $0</v>
      </c>
      <c r="O79" t="str">
        <f t="shared" si="32"/>
        <v>Clothing David 20171024 $0</v>
      </c>
      <c r="P79">
        <f t="shared" si="33"/>
        <v>9</v>
      </c>
      <c r="Q79">
        <f t="shared" si="34"/>
        <v>15</v>
      </c>
      <c r="R79">
        <f t="shared" si="35"/>
        <v>24</v>
      </c>
      <c r="S79" t="str">
        <f t="shared" si="36"/>
        <v>Clothing</v>
      </c>
      <c r="T79" t="str">
        <f t="shared" si="37"/>
        <v>David</v>
      </c>
      <c r="U79" t="str">
        <f t="shared" si="38"/>
        <v>20171024</v>
      </c>
      <c r="V79" t="str">
        <f t="shared" si="39"/>
        <v>0</v>
      </c>
      <c r="W79" s="4">
        <f t="shared" si="40"/>
        <v>43032</v>
      </c>
      <c r="X79" s="5">
        <f t="shared" si="41"/>
        <v>0</v>
      </c>
    </row>
    <row r="80" spans="3:24" x14ac:dyDescent="0.35">
      <c r="C80" s="2">
        <f t="shared" si="21"/>
        <v>79</v>
      </c>
      <c r="D80" t="s">
        <v>78</v>
      </c>
      <c r="E80">
        <f t="shared" si="22"/>
        <v>28</v>
      </c>
      <c r="F80" t="str">
        <f t="shared" si="23"/>
        <v xml:space="preserve">///PR:Games__SP:David20171025     $1409     </v>
      </c>
      <c r="G80">
        <f t="shared" si="24"/>
        <v>32</v>
      </c>
      <c r="H80" t="str">
        <f t="shared" si="25"/>
        <v>///PR:Games__SP:David20171025     $1409</v>
      </c>
      <c r="I80">
        <f t="shared" si="26"/>
        <v>57</v>
      </c>
      <c r="J80" t="str">
        <f t="shared" si="27"/>
        <v>PR:Games__SP:David20171025     $1409</v>
      </c>
      <c r="K80" t="str">
        <f t="shared" si="28"/>
        <v>PR:Games  SP:David20171025     $1409</v>
      </c>
      <c r="L80" t="str">
        <f t="shared" si="29"/>
        <v>Games  SP:David20171025     $1409</v>
      </c>
      <c r="M80" t="str">
        <f t="shared" si="30"/>
        <v>Games  David20171025     $1409</v>
      </c>
      <c r="N80" t="str">
        <f t="shared" si="31"/>
        <v>Games David20171025 $1409</v>
      </c>
      <c r="O80" t="str">
        <f t="shared" si="32"/>
        <v>Games David 20171025 $1409</v>
      </c>
      <c r="P80">
        <f t="shared" si="33"/>
        <v>6</v>
      </c>
      <c r="Q80">
        <f t="shared" si="34"/>
        <v>12</v>
      </c>
      <c r="R80">
        <f t="shared" si="35"/>
        <v>21</v>
      </c>
      <c r="S80" t="str">
        <f t="shared" si="36"/>
        <v>Games</v>
      </c>
      <c r="T80" t="str">
        <f t="shared" si="37"/>
        <v>David</v>
      </c>
      <c r="U80" t="str">
        <f t="shared" si="38"/>
        <v>20171025</v>
      </c>
      <c r="V80" t="str">
        <f t="shared" si="39"/>
        <v>1409</v>
      </c>
      <c r="W80" s="4">
        <f t="shared" si="40"/>
        <v>43033</v>
      </c>
      <c r="X80" s="5">
        <f t="shared" si="41"/>
        <v>1409</v>
      </c>
    </row>
    <row r="81" spans="3:24" x14ac:dyDescent="0.35">
      <c r="C81" s="2">
        <f t="shared" si="21"/>
        <v>80</v>
      </c>
      <c r="D81" t="s">
        <v>79</v>
      </c>
      <c r="E81">
        <f t="shared" si="22"/>
        <v>29</v>
      </c>
      <c r="F81" t="str">
        <f t="shared" si="23"/>
        <v xml:space="preserve">/////PR:Games____SP:David20171028    $1628   </v>
      </c>
      <c r="G81">
        <f t="shared" si="24"/>
        <v>32</v>
      </c>
      <c r="H81" t="str">
        <f t="shared" si="25"/>
        <v>/////PR:Games____SP:David20171028    $1628</v>
      </c>
      <c r="I81">
        <f t="shared" si="26"/>
        <v>56</v>
      </c>
      <c r="J81" t="str">
        <f t="shared" si="27"/>
        <v>PR:Games____SP:David20171028    $1628</v>
      </c>
      <c r="K81" t="str">
        <f t="shared" si="28"/>
        <v>PR:Games    SP:David20171028    $1628</v>
      </c>
      <c r="L81" t="str">
        <f t="shared" si="29"/>
        <v>Games    SP:David20171028    $1628</v>
      </c>
      <c r="M81" t="str">
        <f t="shared" si="30"/>
        <v>Games    David20171028    $1628</v>
      </c>
      <c r="N81" t="str">
        <f t="shared" si="31"/>
        <v>Games David20171028 $1628</v>
      </c>
      <c r="O81" t="str">
        <f t="shared" si="32"/>
        <v>Games David 20171028 $1628</v>
      </c>
      <c r="P81">
        <f t="shared" si="33"/>
        <v>6</v>
      </c>
      <c r="Q81">
        <f t="shared" si="34"/>
        <v>12</v>
      </c>
      <c r="R81">
        <f t="shared" si="35"/>
        <v>21</v>
      </c>
      <c r="S81" t="str">
        <f t="shared" si="36"/>
        <v>Games</v>
      </c>
      <c r="T81" t="str">
        <f t="shared" si="37"/>
        <v>David</v>
      </c>
      <c r="U81" t="str">
        <f t="shared" si="38"/>
        <v>20171028</v>
      </c>
      <c r="V81" t="str">
        <f t="shared" si="39"/>
        <v>1628</v>
      </c>
      <c r="W81" s="4">
        <f t="shared" si="40"/>
        <v>43036</v>
      </c>
      <c r="X81" s="5">
        <f t="shared" si="41"/>
        <v>1628</v>
      </c>
    </row>
    <row r="82" spans="3:24" x14ac:dyDescent="0.35">
      <c r="C82" s="2">
        <f t="shared" si="21"/>
        <v>81</v>
      </c>
      <c r="D82" t="s">
        <v>80</v>
      </c>
      <c r="E82">
        <f t="shared" si="22"/>
        <v>31</v>
      </c>
      <c r="F82" t="str">
        <f t="shared" si="23"/>
        <v xml:space="preserve">/PR:Music_SP:David20171030 $0  </v>
      </c>
      <c r="G82">
        <f t="shared" si="24"/>
        <v>32</v>
      </c>
      <c r="H82" t="str">
        <f t="shared" si="25"/>
        <v>/PR:Music_SP:David20171030 $0</v>
      </c>
      <c r="I82">
        <f t="shared" si="26"/>
        <v>48</v>
      </c>
      <c r="J82" t="str">
        <f t="shared" si="27"/>
        <v>PR:Music_SP:David20171030 $0</v>
      </c>
      <c r="K82" t="str">
        <f t="shared" si="28"/>
        <v>PR:Music SP:David20171030 $0</v>
      </c>
      <c r="L82" t="str">
        <f t="shared" si="29"/>
        <v>Music SP:David20171030 $0</v>
      </c>
      <c r="M82" t="str">
        <f t="shared" si="30"/>
        <v>Music David20171030 $0</v>
      </c>
      <c r="N82" t="str">
        <f t="shared" si="31"/>
        <v>Music David20171030 $0</v>
      </c>
      <c r="O82" t="str">
        <f t="shared" si="32"/>
        <v>Music David 20171030 $0</v>
      </c>
      <c r="P82">
        <f t="shared" si="33"/>
        <v>6</v>
      </c>
      <c r="Q82">
        <f t="shared" si="34"/>
        <v>12</v>
      </c>
      <c r="R82">
        <f t="shared" si="35"/>
        <v>21</v>
      </c>
      <c r="S82" t="str">
        <f t="shared" si="36"/>
        <v>Music</v>
      </c>
      <c r="T82" t="str">
        <f t="shared" si="37"/>
        <v>David</v>
      </c>
      <c r="U82" t="str">
        <f t="shared" si="38"/>
        <v>20171030</v>
      </c>
      <c r="V82" t="str">
        <f t="shared" si="39"/>
        <v>0</v>
      </c>
      <c r="W82" s="4">
        <f t="shared" si="40"/>
        <v>43038</v>
      </c>
      <c r="X82" s="5">
        <f t="shared" si="41"/>
        <v>0</v>
      </c>
    </row>
    <row r="83" spans="3:24" x14ac:dyDescent="0.35">
      <c r="C83" s="2">
        <f t="shared" si="21"/>
        <v>82</v>
      </c>
      <c r="D83" t="s">
        <v>81</v>
      </c>
      <c r="E83">
        <f t="shared" si="22"/>
        <v>28</v>
      </c>
      <c r="F83" t="str">
        <f t="shared" si="23"/>
        <v xml:space="preserve">//PR:Games___SP:Alice20171030 $1228 </v>
      </c>
      <c r="G83">
        <f t="shared" si="24"/>
        <v>32</v>
      </c>
      <c r="H83" t="str">
        <f t="shared" si="25"/>
        <v>//PR:Games___SP:Alice20171030 $1228</v>
      </c>
      <c r="I83">
        <f t="shared" si="26"/>
        <v>56</v>
      </c>
      <c r="J83" t="str">
        <f t="shared" si="27"/>
        <v>PR:Games___SP:Alice20171030 $1228</v>
      </c>
      <c r="K83" t="str">
        <f t="shared" si="28"/>
        <v>PR:Games   SP:Alice20171030 $1228</v>
      </c>
      <c r="L83" t="str">
        <f t="shared" si="29"/>
        <v>Games   SP:Alice20171030 $1228</v>
      </c>
      <c r="M83" t="str">
        <f t="shared" si="30"/>
        <v>Games   Alice20171030 $1228</v>
      </c>
      <c r="N83" t="str">
        <f t="shared" si="31"/>
        <v>Games Alice20171030 $1228</v>
      </c>
      <c r="O83" t="str">
        <f t="shared" si="32"/>
        <v>Games Alice 20171030 $1228</v>
      </c>
      <c r="P83">
        <f t="shared" si="33"/>
        <v>6</v>
      </c>
      <c r="Q83">
        <f t="shared" si="34"/>
        <v>12</v>
      </c>
      <c r="R83">
        <f t="shared" si="35"/>
        <v>21</v>
      </c>
      <c r="S83" t="str">
        <f t="shared" si="36"/>
        <v>Games</v>
      </c>
      <c r="T83" t="str">
        <f t="shared" si="37"/>
        <v>Alice</v>
      </c>
      <c r="U83" t="str">
        <f t="shared" si="38"/>
        <v>20171030</v>
      </c>
      <c r="V83" t="str">
        <f t="shared" si="39"/>
        <v>1228</v>
      </c>
      <c r="W83" s="4">
        <f t="shared" si="40"/>
        <v>43038</v>
      </c>
      <c r="X83" s="5">
        <f t="shared" si="41"/>
        <v>1228</v>
      </c>
    </row>
    <row r="84" spans="3:24" x14ac:dyDescent="0.35">
      <c r="C84" s="2">
        <f t="shared" si="21"/>
        <v>83</v>
      </c>
      <c r="D84" t="s">
        <v>82</v>
      </c>
      <c r="E84">
        <f t="shared" si="22"/>
        <v>28</v>
      </c>
      <c r="F84" t="str">
        <f t="shared" si="23"/>
        <v xml:space="preserve">////PR:Music_____SP:Carol20171018   $1232    </v>
      </c>
      <c r="G84">
        <f t="shared" si="24"/>
        <v>32</v>
      </c>
      <c r="H84" t="str">
        <f t="shared" si="25"/>
        <v>////PR:Music_____SP:Carol20171018   $1232</v>
      </c>
      <c r="I84">
        <f t="shared" si="26"/>
        <v>50</v>
      </c>
      <c r="J84" t="str">
        <f t="shared" si="27"/>
        <v>PR:Music_____SP:Carol20171018   $1232</v>
      </c>
      <c r="K84" t="str">
        <f t="shared" si="28"/>
        <v>PR:Music     SP:Carol20171018   $1232</v>
      </c>
      <c r="L84" t="str">
        <f t="shared" si="29"/>
        <v>Music     SP:Carol20171018   $1232</v>
      </c>
      <c r="M84" t="str">
        <f t="shared" si="30"/>
        <v>Music     Carol20171018   $1232</v>
      </c>
      <c r="N84" t="str">
        <f t="shared" si="31"/>
        <v>Music Carol20171018 $1232</v>
      </c>
      <c r="O84" t="str">
        <f t="shared" si="32"/>
        <v>Music Carol 20171018 $1232</v>
      </c>
      <c r="P84">
        <f t="shared" si="33"/>
        <v>6</v>
      </c>
      <c r="Q84">
        <f t="shared" si="34"/>
        <v>12</v>
      </c>
      <c r="R84">
        <f t="shared" si="35"/>
        <v>21</v>
      </c>
      <c r="S84" t="str">
        <f t="shared" si="36"/>
        <v>Music</v>
      </c>
      <c r="T84" t="str">
        <f t="shared" si="37"/>
        <v>Carol</v>
      </c>
      <c r="U84" t="str">
        <f t="shared" si="38"/>
        <v>20171018</v>
      </c>
      <c r="V84" t="str">
        <f t="shared" si="39"/>
        <v>1232</v>
      </c>
      <c r="W84" s="4">
        <f t="shared" si="40"/>
        <v>43026</v>
      </c>
      <c r="X84" s="5">
        <f t="shared" si="41"/>
        <v>1232</v>
      </c>
    </row>
    <row r="85" spans="3:24" x14ac:dyDescent="0.35">
      <c r="C85" s="2">
        <f t="shared" si="21"/>
        <v>84</v>
      </c>
      <c r="D85" t="s">
        <v>83</v>
      </c>
      <c r="E85">
        <f t="shared" si="22"/>
        <v>28</v>
      </c>
      <c r="F85" t="str">
        <f t="shared" si="23"/>
        <v xml:space="preserve">///PR:Clothing___SP:Barney20171029   $754 </v>
      </c>
      <c r="G85">
        <f t="shared" si="24"/>
        <v>32</v>
      </c>
      <c r="H85" t="str">
        <f t="shared" si="25"/>
        <v>///PR:Clothing___SP:Barney20171029   $754</v>
      </c>
      <c r="I85">
        <f t="shared" si="26"/>
        <v>52</v>
      </c>
      <c r="J85" t="str">
        <f t="shared" si="27"/>
        <v>PR:Clothing___SP:Barney20171029   $754</v>
      </c>
      <c r="K85" t="str">
        <f t="shared" si="28"/>
        <v>PR:Clothing   SP:Barney20171029   $754</v>
      </c>
      <c r="L85" t="str">
        <f t="shared" si="29"/>
        <v>Clothing   SP:Barney20171029   $754</v>
      </c>
      <c r="M85" t="str">
        <f t="shared" si="30"/>
        <v>Clothing   Barney20171029   $754</v>
      </c>
      <c r="N85" t="str">
        <f t="shared" si="31"/>
        <v>Clothing Barney20171029 $754</v>
      </c>
      <c r="O85" t="str">
        <f t="shared" si="32"/>
        <v>Clothing Barney 20171029 $754</v>
      </c>
      <c r="P85">
        <f t="shared" si="33"/>
        <v>9</v>
      </c>
      <c r="Q85">
        <f t="shared" si="34"/>
        <v>16</v>
      </c>
      <c r="R85">
        <f t="shared" si="35"/>
        <v>25</v>
      </c>
      <c r="S85" t="str">
        <f t="shared" si="36"/>
        <v>Clothing</v>
      </c>
      <c r="T85" t="str">
        <f t="shared" si="37"/>
        <v>Barney</v>
      </c>
      <c r="U85" t="str">
        <f t="shared" si="38"/>
        <v>20171029</v>
      </c>
      <c r="V85" t="str">
        <f t="shared" si="39"/>
        <v>754</v>
      </c>
      <c r="W85" s="4">
        <f t="shared" si="40"/>
        <v>43037</v>
      </c>
      <c r="X85" s="5">
        <f t="shared" si="41"/>
        <v>754</v>
      </c>
    </row>
    <row r="86" spans="3:24" x14ac:dyDescent="0.35">
      <c r="C86" s="2">
        <f t="shared" si="21"/>
        <v>85</v>
      </c>
      <c r="D86" t="s">
        <v>84</v>
      </c>
      <c r="E86">
        <f t="shared" si="22"/>
        <v>30</v>
      </c>
      <c r="F86" t="str">
        <f t="shared" si="23"/>
        <v xml:space="preserve">//PR:Clothing_____SP:Carol20171023     $1234     </v>
      </c>
      <c r="G86">
        <f t="shared" si="24"/>
        <v>32</v>
      </c>
      <c r="H86" t="str">
        <f t="shared" si="25"/>
        <v>//PR:Clothing_____SP:Carol20171023     $1234</v>
      </c>
      <c r="I86">
        <f t="shared" si="26"/>
        <v>52</v>
      </c>
      <c r="J86" t="str">
        <f t="shared" si="27"/>
        <v>PR:Clothing_____SP:Carol20171023     $1234</v>
      </c>
      <c r="K86" t="str">
        <f t="shared" si="28"/>
        <v>PR:Clothing     SP:Carol20171023     $1234</v>
      </c>
      <c r="L86" t="str">
        <f t="shared" si="29"/>
        <v>Clothing     SP:Carol20171023     $1234</v>
      </c>
      <c r="M86" t="str">
        <f t="shared" si="30"/>
        <v>Clothing     Carol20171023     $1234</v>
      </c>
      <c r="N86" t="str">
        <f t="shared" si="31"/>
        <v>Clothing Carol20171023 $1234</v>
      </c>
      <c r="O86" t="str">
        <f t="shared" si="32"/>
        <v>Clothing Carol 20171023 $1234</v>
      </c>
      <c r="P86">
        <f t="shared" si="33"/>
        <v>9</v>
      </c>
      <c r="Q86">
        <f t="shared" si="34"/>
        <v>15</v>
      </c>
      <c r="R86">
        <f t="shared" si="35"/>
        <v>24</v>
      </c>
      <c r="S86" t="str">
        <f t="shared" si="36"/>
        <v>Clothing</v>
      </c>
      <c r="T86" t="str">
        <f t="shared" si="37"/>
        <v>Carol</v>
      </c>
      <c r="U86" t="str">
        <f t="shared" si="38"/>
        <v>20171023</v>
      </c>
      <c r="V86" t="str">
        <f t="shared" si="39"/>
        <v>1234</v>
      </c>
      <c r="W86" s="4">
        <f t="shared" si="40"/>
        <v>43031</v>
      </c>
      <c r="X86" s="5">
        <f t="shared" si="41"/>
        <v>1234</v>
      </c>
    </row>
    <row r="87" spans="3:24" x14ac:dyDescent="0.35">
      <c r="C87" s="2">
        <f t="shared" si="21"/>
        <v>86</v>
      </c>
      <c r="D87" t="s">
        <v>85</v>
      </c>
      <c r="E87">
        <f t="shared" si="22"/>
        <v>29</v>
      </c>
      <c r="F87" t="str">
        <f t="shared" si="23"/>
        <v xml:space="preserve">////PR:Music_____SP:Barney2017102    $927     </v>
      </c>
      <c r="G87">
        <f t="shared" si="24"/>
        <v>32</v>
      </c>
      <c r="H87" t="str">
        <f t="shared" si="25"/>
        <v>////PR:Music_____SP:Barney2017102    $927</v>
      </c>
      <c r="I87">
        <f t="shared" si="26"/>
        <v>55</v>
      </c>
      <c r="J87" t="str">
        <f t="shared" si="27"/>
        <v>PR:Music_____SP:Barney2017102    $927</v>
      </c>
      <c r="K87" t="str">
        <f t="shared" si="28"/>
        <v>PR:Music     SP:Barney2017102    $927</v>
      </c>
      <c r="L87" t="str">
        <f t="shared" si="29"/>
        <v>Music     SP:Barney2017102    $927</v>
      </c>
      <c r="M87" t="str">
        <f t="shared" si="30"/>
        <v>Music     Barney2017102    $927</v>
      </c>
      <c r="N87" t="str">
        <f t="shared" si="31"/>
        <v>Music Barney2017102 $927</v>
      </c>
      <c r="O87" t="str">
        <f t="shared" si="32"/>
        <v>Music Barney 2017102 $927</v>
      </c>
      <c r="P87">
        <f t="shared" si="33"/>
        <v>6</v>
      </c>
      <c r="Q87">
        <f t="shared" si="34"/>
        <v>13</v>
      </c>
      <c r="R87">
        <f t="shared" si="35"/>
        <v>21</v>
      </c>
      <c r="S87" t="str">
        <f t="shared" si="36"/>
        <v>Music</v>
      </c>
      <c r="T87" t="str">
        <f t="shared" si="37"/>
        <v>Barney</v>
      </c>
      <c r="U87" t="str">
        <f t="shared" si="38"/>
        <v>2017102</v>
      </c>
      <c r="V87" t="str">
        <f t="shared" si="39"/>
        <v>927</v>
      </c>
      <c r="W87" s="4">
        <f t="shared" si="40"/>
        <v>43010</v>
      </c>
      <c r="X87" s="5">
        <f t="shared" si="41"/>
        <v>927</v>
      </c>
    </row>
    <row r="88" spans="3:24" x14ac:dyDescent="0.35">
      <c r="C88" s="2">
        <f t="shared" si="21"/>
        <v>87</v>
      </c>
      <c r="D88" t="s">
        <v>86</v>
      </c>
      <c r="E88">
        <f t="shared" si="22"/>
        <v>31</v>
      </c>
      <c r="F88" t="str">
        <f t="shared" si="23"/>
        <v xml:space="preserve">//PR:Clothing_SP:Barney2017107 $1419 </v>
      </c>
      <c r="G88">
        <f t="shared" si="24"/>
        <v>32</v>
      </c>
      <c r="H88" t="str">
        <f t="shared" si="25"/>
        <v>//PR:Clothing_SP:Barney2017107 $1419</v>
      </c>
      <c r="I88">
        <f t="shared" si="26"/>
        <v>57</v>
      </c>
      <c r="J88" t="str">
        <f t="shared" si="27"/>
        <v>PR:Clothing_SP:Barney2017107 $1419</v>
      </c>
      <c r="K88" t="str">
        <f t="shared" si="28"/>
        <v>PR:Clothing SP:Barney2017107 $1419</v>
      </c>
      <c r="L88" t="str">
        <f t="shared" si="29"/>
        <v>Clothing SP:Barney2017107 $1419</v>
      </c>
      <c r="M88" t="str">
        <f t="shared" si="30"/>
        <v>Clothing Barney2017107 $1419</v>
      </c>
      <c r="N88" t="str">
        <f t="shared" si="31"/>
        <v>Clothing Barney2017107 $1419</v>
      </c>
      <c r="O88" t="str">
        <f t="shared" si="32"/>
        <v>Clothing Barney 2017107 $1419</v>
      </c>
      <c r="P88">
        <f t="shared" si="33"/>
        <v>9</v>
      </c>
      <c r="Q88">
        <f t="shared" si="34"/>
        <v>16</v>
      </c>
      <c r="R88">
        <f t="shared" si="35"/>
        <v>24</v>
      </c>
      <c r="S88" t="str">
        <f t="shared" si="36"/>
        <v>Clothing</v>
      </c>
      <c r="T88" t="str">
        <f t="shared" si="37"/>
        <v>Barney</v>
      </c>
      <c r="U88" t="str">
        <f t="shared" si="38"/>
        <v>2017107</v>
      </c>
      <c r="V88" t="str">
        <f t="shared" si="39"/>
        <v>1419</v>
      </c>
      <c r="W88" s="4">
        <f t="shared" si="40"/>
        <v>43015</v>
      </c>
      <c r="X88" s="5">
        <f t="shared" si="41"/>
        <v>1419</v>
      </c>
    </row>
    <row r="89" spans="3:24" x14ac:dyDescent="0.35">
      <c r="C89" s="2">
        <f t="shared" si="21"/>
        <v>88</v>
      </c>
      <c r="D89" t="s">
        <v>87</v>
      </c>
      <c r="E89">
        <f t="shared" si="22"/>
        <v>29</v>
      </c>
      <c r="F89" t="str">
        <f t="shared" si="23"/>
        <v xml:space="preserve">////PR:Games___SP:Barney20171022     $2167  </v>
      </c>
      <c r="G89">
        <f t="shared" si="24"/>
        <v>32</v>
      </c>
      <c r="H89" t="str">
        <f t="shared" si="25"/>
        <v>////PR:Games___SP:Barney20171022     $2167</v>
      </c>
      <c r="I89">
        <f t="shared" si="26"/>
        <v>55</v>
      </c>
      <c r="J89" t="str">
        <f t="shared" si="27"/>
        <v>PR:Games___SP:Barney20171022     $2167</v>
      </c>
      <c r="K89" t="str">
        <f t="shared" si="28"/>
        <v>PR:Games   SP:Barney20171022     $2167</v>
      </c>
      <c r="L89" t="str">
        <f t="shared" si="29"/>
        <v>Games   SP:Barney20171022     $2167</v>
      </c>
      <c r="M89" t="str">
        <f t="shared" si="30"/>
        <v>Games   Barney20171022     $2167</v>
      </c>
      <c r="N89" t="str">
        <f t="shared" si="31"/>
        <v>Games Barney20171022 $2167</v>
      </c>
      <c r="O89" t="str">
        <f t="shared" si="32"/>
        <v>Games Barney 20171022 $2167</v>
      </c>
      <c r="P89">
        <f t="shared" si="33"/>
        <v>6</v>
      </c>
      <c r="Q89">
        <f t="shared" si="34"/>
        <v>13</v>
      </c>
      <c r="R89">
        <f t="shared" si="35"/>
        <v>22</v>
      </c>
      <c r="S89" t="str">
        <f t="shared" si="36"/>
        <v>Games</v>
      </c>
      <c r="T89" t="str">
        <f t="shared" si="37"/>
        <v>Barney</v>
      </c>
      <c r="U89" t="str">
        <f t="shared" si="38"/>
        <v>20171022</v>
      </c>
      <c r="V89" t="str">
        <f t="shared" si="39"/>
        <v>2167</v>
      </c>
      <c r="W89" s="4">
        <f t="shared" si="40"/>
        <v>43030</v>
      </c>
      <c r="X89" s="5">
        <f t="shared" si="41"/>
        <v>2167</v>
      </c>
    </row>
    <row r="90" spans="3:24" x14ac:dyDescent="0.35">
      <c r="C90" s="2">
        <f t="shared" si="21"/>
        <v>89</v>
      </c>
      <c r="D90" t="s">
        <v>88</v>
      </c>
      <c r="E90">
        <f t="shared" si="22"/>
        <v>29</v>
      </c>
      <c r="F90" t="str">
        <f t="shared" si="23"/>
        <v xml:space="preserve">/////PR:Games____SP:Barney20171014   $1771  </v>
      </c>
      <c r="G90">
        <f t="shared" si="24"/>
        <v>32</v>
      </c>
      <c r="H90" t="str">
        <f t="shared" si="25"/>
        <v>/////PR:Games____SP:Barney20171014   $1771</v>
      </c>
      <c r="I90">
        <f t="shared" si="26"/>
        <v>49</v>
      </c>
      <c r="J90" t="str">
        <f t="shared" si="27"/>
        <v>PR:Games____SP:Barney20171014   $1771</v>
      </c>
      <c r="K90" t="str">
        <f t="shared" si="28"/>
        <v>PR:Games    SP:Barney20171014   $1771</v>
      </c>
      <c r="L90" t="str">
        <f t="shared" si="29"/>
        <v>Games    SP:Barney20171014   $1771</v>
      </c>
      <c r="M90" t="str">
        <f t="shared" si="30"/>
        <v>Games    Barney20171014   $1771</v>
      </c>
      <c r="N90" t="str">
        <f t="shared" si="31"/>
        <v>Games Barney20171014 $1771</v>
      </c>
      <c r="O90" t="str">
        <f t="shared" si="32"/>
        <v>Games Barney 20171014 $1771</v>
      </c>
      <c r="P90">
        <f t="shared" si="33"/>
        <v>6</v>
      </c>
      <c r="Q90">
        <f t="shared" si="34"/>
        <v>13</v>
      </c>
      <c r="R90">
        <f t="shared" si="35"/>
        <v>22</v>
      </c>
      <c r="S90" t="str">
        <f t="shared" si="36"/>
        <v>Games</v>
      </c>
      <c r="T90" t="str">
        <f t="shared" si="37"/>
        <v>Barney</v>
      </c>
      <c r="U90" t="str">
        <f t="shared" si="38"/>
        <v>20171014</v>
      </c>
      <c r="V90" t="str">
        <f t="shared" si="39"/>
        <v>1771</v>
      </c>
      <c r="W90" s="4">
        <f t="shared" si="40"/>
        <v>43022</v>
      </c>
      <c r="X90" s="5">
        <f t="shared" si="41"/>
        <v>1771</v>
      </c>
    </row>
    <row r="91" spans="3:24" x14ac:dyDescent="0.35">
      <c r="C91" s="2">
        <f t="shared" si="21"/>
        <v>90</v>
      </c>
      <c r="D91" t="s">
        <v>89</v>
      </c>
      <c r="E91">
        <f t="shared" si="22"/>
        <v>31</v>
      </c>
      <c r="F91" t="str">
        <f t="shared" si="23"/>
        <v xml:space="preserve">/////PR:Games__SP:Barney2017109     $0 </v>
      </c>
      <c r="G91">
        <f t="shared" si="24"/>
        <v>32</v>
      </c>
      <c r="H91" t="str">
        <f t="shared" si="25"/>
        <v>/////PR:Games__SP:Barney2017109     $0</v>
      </c>
      <c r="I91">
        <f t="shared" si="26"/>
        <v>48</v>
      </c>
      <c r="J91" t="str">
        <f t="shared" si="27"/>
        <v>PR:Games__SP:Barney2017109     $0</v>
      </c>
      <c r="K91" t="str">
        <f t="shared" si="28"/>
        <v>PR:Games  SP:Barney2017109     $0</v>
      </c>
      <c r="L91" t="str">
        <f t="shared" si="29"/>
        <v>Games  SP:Barney2017109     $0</v>
      </c>
      <c r="M91" t="str">
        <f t="shared" si="30"/>
        <v>Games  Barney2017109     $0</v>
      </c>
      <c r="N91" t="str">
        <f t="shared" si="31"/>
        <v>Games Barney2017109 $0</v>
      </c>
      <c r="O91" t="str">
        <f t="shared" si="32"/>
        <v>Games Barney 2017109 $0</v>
      </c>
      <c r="P91">
        <f t="shared" si="33"/>
        <v>6</v>
      </c>
      <c r="Q91">
        <f t="shared" si="34"/>
        <v>13</v>
      </c>
      <c r="R91">
        <f t="shared" si="35"/>
        <v>21</v>
      </c>
      <c r="S91" t="str">
        <f t="shared" si="36"/>
        <v>Games</v>
      </c>
      <c r="T91" t="str">
        <f t="shared" si="37"/>
        <v>Barney</v>
      </c>
      <c r="U91" t="str">
        <f t="shared" si="38"/>
        <v>2017109</v>
      </c>
      <c r="V91" t="str">
        <f t="shared" si="39"/>
        <v>0</v>
      </c>
      <c r="W91" s="4">
        <f t="shared" si="40"/>
        <v>43017</v>
      </c>
      <c r="X91" s="5">
        <f t="shared" si="41"/>
        <v>0</v>
      </c>
    </row>
    <row r="92" spans="3:24" x14ac:dyDescent="0.35">
      <c r="C92" s="2">
        <f t="shared" si="21"/>
        <v>91</v>
      </c>
      <c r="D92" t="s">
        <v>90</v>
      </c>
      <c r="E92">
        <f t="shared" si="22"/>
        <v>29</v>
      </c>
      <c r="F92" t="str">
        <f t="shared" si="23"/>
        <v xml:space="preserve">/////PR:Clothing____SP:Alice2017101     $0    </v>
      </c>
      <c r="G92">
        <f t="shared" si="24"/>
        <v>32</v>
      </c>
      <c r="H92" t="str">
        <f t="shared" si="25"/>
        <v>/////PR:Clothing____SP:Alice2017101     $0</v>
      </c>
      <c r="I92">
        <f t="shared" si="26"/>
        <v>48</v>
      </c>
      <c r="J92" t="str">
        <f t="shared" si="27"/>
        <v>PR:Clothing____SP:Alice2017101     $0</v>
      </c>
      <c r="K92" t="str">
        <f t="shared" si="28"/>
        <v>PR:Clothing    SP:Alice2017101     $0</v>
      </c>
      <c r="L92" t="str">
        <f t="shared" si="29"/>
        <v>Clothing    SP:Alice2017101     $0</v>
      </c>
      <c r="M92" t="str">
        <f t="shared" si="30"/>
        <v>Clothing    Alice2017101     $0</v>
      </c>
      <c r="N92" t="str">
        <f t="shared" si="31"/>
        <v>Clothing Alice2017101 $0</v>
      </c>
      <c r="O92" t="str">
        <f t="shared" si="32"/>
        <v>Clothing Alice 2017101 $0</v>
      </c>
      <c r="P92">
        <f t="shared" si="33"/>
        <v>9</v>
      </c>
      <c r="Q92">
        <f t="shared" si="34"/>
        <v>15</v>
      </c>
      <c r="R92">
        <f t="shared" si="35"/>
        <v>23</v>
      </c>
      <c r="S92" t="str">
        <f t="shared" si="36"/>
        <v>Clothing</v>
      </c>
      <c r="T92" t="str">
        <f t="shared" si="37"/>
        <v>Alice</v>
      </c>
      <c r="U92" t="str">
        <f t="shared" si="38"/>
        <v>2017101</v>
      </c>
      <c r="V92" t="str">
        <f t="shared" si="39"/>
        <v>0</v>
      </c>
      <c r="W92" s="4">
        <f t="shared" si="40"/>
        <v>43009</v>
      </c>
      <c r="X92" s="5">
        <f t="shared" si="41"/>
        <v>0</v>
      </c>
    </row>
    <row r="93" spans="3:24" x14ac:dyDescent="0.35">
      <c r="C93" s="2">
        <f t="shared" si="21"/>
        <v>92</v>
      </c>
      <c r="D93" t="s">
        <v>91</v>
      </c>
      <c r="E93">
        <f t="shared" si="22"/>
        <v>30</v>
      </c>
      <c r="F93" t="str">
        <f t="shared" si="23"/>
        <v xml:space="preserve">/PR:Books__SP:Barney20171015  $0  </v>
      </c>
      <c r="G93">
        <f t="shared" si="24"/>
        <v>32</v>
      </c>
      <c r="H93" t="str">
        <f t="shared" si="25"/>
        <v>/PR:Books__SP:Barney20171015  $0</v>
      </c>
      <c r="I93">
        <f t="shared" si="26"/>
        <v>48</v>
      </c>
      <c r="J93" t="str">
        <f t="shared" si="27"/>
        <v>PR:Books__SP:Barney20171015  $0</v>
      </c>
      <c r="K93" t="str">
        <f t="shared" si="28"/>
        <v>PR:Books  SP:Barney20171015  $0</v>
      </c>
      <c r="L93" t="str">
        <f t="shared" si="29"/>
        <v>Books  SP:Barney20171015  $0</v>
      </c>
      <c r="M93" t="str">
        <f t="shared" si="30"/>
        <v>Books  Barney20171015  $0</v>
      </c>
      <c r="N93" t="str">
        <f t="shared" si="31"/>
        <v>Books Barney20171015 $0</v>
      </c>
      <c r="O93" t="str">
        <f t="shared" si="32"/>
        <v>Books Barney 20171015 $0</v>
      </c>
      <c r="P93">
        <f t="shared" si="33"/>
        <v>6</v>
      </c>
      <c r="Q93">
        <f t="shared" si="34"/>
        <v>13</v>
      </c>
      <c r="R93">
        <f t="shared" si="35"/>
        <v>22</v>
      </c>
      <c r="S93" t="str">
        <f t="shared" si="36"/>
        <v>Books</v>
      </c>
      <c r="T93" t="str">
        <f t="shared" si="37"/>
        <v>Barney</v>
      </c>
      <c r="U93" t="str">
        <f t="shared" si="38"/>
        <v>20171015</v>
      </c>
      <c r="V93" t="str">
        <f t="shared" si="39"/>
        <v>0</v>
      </c>
      <c r="W93" s="4">
        <f t="shared" si="40"/>
        <v>43023</v>
      </c>
      <c r="X93" s="5">
        <f t="shared" si="41"/>
        <v>0</v>
      </c>
    </row>
    <row r="94" spans="3:24" x14ac:dyDescent="0.35">
      <c r="C94" s="2">
        <f t="shared" si="21"/>
        <v>93</v>
      </c>
      <c r="D94" t="s">
        <v>92</v>
      </c>
      <c r="E94">
        <f t="shared" si="22"/>
        <v>31</v>
      </c>
      <c r="F94" t="str">
        <f t="shared" si="23"/>
        <v xml:space="preserve">/////PR:Clothing___SP:Carol20171012  $1973  </v>
      </c>
      <c r="G94">
        <f t="shared" si="24"/>
        <v>32</v>
      </c>
      <c r="H94" t="str">
        <f t="shared" si="25"/>
        <v>/////PR:Clothing___SP:Carol20171012  $1973</v>
      </c>
      <c r="I94">
        <f t="shared" si="26"/>
        <v>51</v>
      </c>
      <c r="J94" t="str">
        <f t="shared" si="27"/>
        <v>PR:Clothing___SP:Carol20171012  $1973</v>
      </c>
      <c r="K94" t="str">
        <f t="shared" si="28"/>
        <v>PR:Clothing   SP:Carol20171012  $1973</v>
      </c>
      <c r="L94" t="str">
        <f t="shared" si="29"/>
        <v>Clothing   SP:Carol20171012  $1973</v>
      </c>
      <c r="M94" t="str">
        <f t="shared" si="30"/>
        <v>Clothing   Carol20171012  $1973</v>
      </c>
      <c r="N94" t="str">
        <f t="shared" si="31"/>
        <v>Clothing Carol20171012 $1973</v>
      </c>
      <c r="O94" t="str">
        <f t="shared" si="32"/>
        <v>Clothing Carol 20171012 $1973</v>
      </c>
      <c r="P94">
        <f t="shared" si="33"/>
        <v>9</v>
      </c>
      <c r="Q94">
        <f t="shared" si="34"/>
        <v>15</v>
      </c>
      <c r="R94">
        <f t="shared" si="35"/>
        <v>24</v>
      </c>
      <c r="S94" t="str">
        <f t="shared" si="36"/>
        <v>Clothing</v>
      </c>
      <c r="T94" t="str">
        <f t="shared" si="37"/>
        <v>Carol</v>
      </c>
      <c r="U94" t="str">
        <f t="shared" si="38"/>
        <v>20171012</v>
      </c>
      <c r="V94" t="str">
        <f t="shared" si="39"/>
        <v>1973</v>
      </c>
      <c r="W94" s="4">
        <f t="shared" si="40"/>
        <v>43020</v>
      </c>
      <c r="X94" s="5">
        <f t="shared" si="41"/>
        <v>1973</v>
      </c>
    </row>
    <row r="95" spans="3:24" x14ac:dyDescent="0.35">
      <c r="C95" s="2">
        <f t="shared" si="21"/>
        <v>94</v>
      </c>
      <c r="D95" t="s">
        <v>93</v>
      </c>
      <c r="E95">
        <f t="shared" si="22"/>
        <v>30</v>
      </c>
      <c r="F95" t="str">
        <f t="shared" si="23"/>
        <v xml:space="preserve">///PR:Music__SP:David20171028     $941 </v>
      </c>
      <c r="G95">
        <f t="shared" si="24"/>
        <v>32</v>
      </c>
      <c r="H95" t="str">
        <f t="shared" si="25"/>
        <v>///PR:Music__SP:David20171028     $941</v>
      </c>
      <c r="I95">
        <f t="shared" si="26"/>
        <v>49</v>
      </c>
      <c r="J95" t="str">
        <f t="shared" si="27"/>
        <v>PR:Music__SP:David20171028     $941</v>
      </c>
      <c r="K95" t="str">
        <f t="shared" si="28"/>
        <v>PR:Music  SP:David20171028     $941</v>
      </c>
      <c r="L95" t="str">
        <f t="shared" si="29"/>
        <v>Music  SP:David20171028     $941</v>
      </c>
      <c r="M95" t="str">
        <f t="shared" si="30"/>
        <v>Music  David20171028     $941</v>
      </c>
      <c r="N95" t="str">
        <f t="shared" si="31"/>
        <v>Music David20171028 $941</v>
      </c>
      <c r="O95" t="str">
        <f t="shared" si="32"/>
        <v>Music David 20171028 $941</v>
      </c>
      <c r="P95">
        <f t="shared" si="33"/>
        <v>6</v>
      </c>
      <c r="Q95">
        <f t="shared" si="34"/>
        <v>12</v>
      </c>
      <c r="R95">
        <f t="shared" si="35"/>
        <v>21</v>
      </c>
      <c r="S95" t="str">
        <f t="shared" si="36"/>
        <v>Music</v>
      </c>
      <c r="T95" t="str">
        <f t="shared" si="37"/>
        <v>David</v>
      </c>
      <c r="U95" t="str">
        <f t="shared" si="38"/>
        <v>20171028</v>
      </c>
      <c r="V95" t="str">
        <f t="shared" si="39"/>
        <v>941</v>
      </c>
      <c r="W95" s="4">
        <f t="shared" si="40"/>
        <v>43036</v>
      </c>
      <c r="X95" s="5">
        <f t="shared" si="41"/>
        <v>941</v>
      </c>
    </row>
    <row r="96" spans="3:24" x14ac:dyDescent="0.35">
      <c r="C96" s="2">
        <f t="shared" si="21"/>
        <v>95</v>
      </c>
      <c r="D96" t="s">
        <v>94</v>
      </c>
      <c r="E96">
        <f t="shared" si="22"/>
        <v>31</v>
      </c>
      <c r="F96" t="str">
        <f t="shared" si="23"/>
        <v xml:space="preserve">/////PR:Books_____SP:Carol20171028   $671   </v>
      </c>
      <c r="G96">
        <f t="shared" si="24"/>
        <v>32</v>
      </c>
      <c r="H96" t="str">
        <f t="shared" si="25"/>
        <v>/////PR:Books_____SP:Carol20171028   $671</v>
      </c>
      <c r="I96">
        <f t="shared" si="26"/>
        <v>49</v>
      </c>
      <c r="J96" t="str">
        <f t="shared" si="27"/>
        <v>PR:Books_____SP:Carol20171028   $671</v>
      </c>
      <c r="K96" t="str">
        <f t="shared" si="28"/>
        <v>PR:Books     SP:Carol20171028   $671</v>
      </c>
      <c r="L96" t="str">
        <f t="shared" si="29"/>
        <v>Books     SP:Carol20171028   $671</v>
      </c>
      <c r="M96" t="str">
        <f t="shared" si="30"/>
        <v>Books     Carol20171028   $671</v>
      </c>
      <c r="N96" t="str">
        <f t="shared" si="31"/>
        <v>Books Carol20171028 $671</v>
      </c>
      <c r="O96" t="str">
        <f t="shared" si="32"/>
        <v>Books Carol 20171028 $671</v>
      </c>
      <c r="P96">
        <f t="shared" si="33"/>
        <v>6</v>
      </c>
      <c r="Q96">
        <f t="shared" si="34"/>
        <v>12</v>
      </c>
      <c r="R96">
        <f t="shared" si="35"/>
        <v>21</v>
      </c>
      <c r="S96" t="str">
        <f t="shared" si="36"/>
        <v>Books</v>
      </c>
      <c r="T96" t="str">
        <f t="shared" si="37"/>
        <v>Carol</v>
      </c>
      <c r="U96" t="str">
        <f t="shared" si="38"/>
        <v>20171028</v>
      </c>
      <c r="V96" t="str">
        <f t="shared" si="39"/>
        <v>671</v>
      </c>
      <c r="W96" s="4">
        <f t="shared" si="40"/>
        <v>43036</v>
      </c>
      <c r="X96" s="5">
        <f t="shared" si="41"/>
        <v>671</v>
      </c>
    </row>
    <row r="97" spans="3:24" x14ac:dyDescent="0.35">
      <c r="C97" s="2">
        <f t="shared" si="21"/>
        <v>96</v>
      </c>
      <c r="D97" t="s">
        <v>95</v>
      </c>
      <c r="E97">
        <f t="shared" si="22"/>
        <v>29</v>
      </c>
      <c r="F97" t="str">
        <f t="shared" si="23"/>
        <v xml:space="preserve">///PR:Clothing____SP:Barney20171015    $1743 </v>
      </c>
      <c r="G97">
        <f t="shared" si="24"/>
        <v>32</v>
      </c>
      <c r="H97" t="str">
        <f t="shared" si="25"/>
        <v>///PR:Clothing____SP:Barney20171015    $1743</v>
      </c>
      <c r="I97">
        <f t="shared" si="26"/>
        <v>51</v>
      </c>
      <c r="J97" t="str">
        <f t="shared" si="27"/>
        <v>PR:Clothing____SP:Barney20171015    $1743</v>
      </c>
      <c r="K97" t="str">
        <f t="shared" si="28"/>
        <v>PR:Clothing    SP:Barney20171015    $1743</v>
      </c>
      <c r="L97" t="str">
        <f t="shared" si="29"/>
        <v>Clothing    SP:Barney20171015    $1743</v>
      </c>
      <c r="M97" t="str">
        <f t="shared" si="30"/>
        <v>Clothing    Barney20171015    $1743</v>
      </c>
      <c r="N97" t="str">
        <f t="shared" si="31"/>
        <v>Clothing Barney20171015 $1743</v>
      </c>
      <c r="O97" t="str">
        <f t="shared" si="32"/>
        <v>Clothing Barney 20171015 $1743</v>
      </c>
      <c r="P97">
        <f t="shared" si="33"/>
        <v>9</v>
      </c>
      <c r="Q97">
        <f t="shared" si="34"/>
        <v>16</v>
      </c>
      <c r="R97">
        <f t="shared" si="35"/>
        <v>25</v>
      </c>
      <c r="S97" t="str">
        <f t="shared" si="36"/>
        <v>Clothing</v>
      </c>
      <c r="T97" t="str">
        <f t="shared" si="37"/>
        <v>Barney</v>
      </c>
      <c r="U97" t="str">
        <f t="shared" si="38"/>
        <v>20171015</v>
      </c>
      <c r="V97" t="str">
        <f t="shared" si="39"/>
        <v>1743</v>
      </c>
      <c r="W97" s="4">
        <f t="shared" si="40"/>
        <v>43023</v>
      </c>
      <c r="X97" s="5">
        <f t="shared" si="41"/>
        <v>1743</v>
      </c>
    </row>
    <row r="98" spans="3:24" x14ac:dyDescent="0.35">
      <c r="C98" s="2">
        <f t="shared" si="21"/>
        <v>97</v>
      </c>
      <c r="D98" t="s">
        <v>96</v>
      </c>
      <c r="E98">
        <f t="shared" si="22"/>
        <v>30</v>
      </c>
      <c r="F98" t="str">
        <f t="shared" si="23"/>
        <v xml:space="preserve">/////PR:Games_SP:David20171017 $963    </v>
      </c>
      <c r="G98">
        <f t="shared" si="24"/>
        <v>32</v>
      </c>
      <c r="H98" t="str">
        <f t="shared" si="25"/>
        <v>/////PR:Games_SP:David20171017 $963</v>
      </c>
      <c r="I98">
        <f t="shared" si="26"/>
        <v>51</v>
      </c>
      <c r="J98" t="str">
        <f t="shared" si="27"/>
        <v>PR:Games_SP:David20171017 $963</v>
      </c>
      <c r="K98" t="str">
        <f t="shared" si="28"/>
        <v>PR:Games SP:David20171017 $963</v>
      </c>
      <c r="L98" t="str">
        <f t="shared" si="29"/>
        <v>Games SP:David20171017 $963</v>
      </c>
      <c r="M98" t="str">
        <f t="shared" si="30"/>
        <v>Games David20171017 $963</v>
      </c>
      <c r="N98" t="str">
        <f t="shared" si="31"/>
        <v>Games David20171017 $963</v>
      </c>
      <c r="O98" t="str">
        <f t="shared" si="32"/>
        <v>Games David 20171017 $963</v>
      </c>
      <c r="P98">
        <f t="shared" si="33"/>
        <v>6</v>
      </c>
      <c r="Q98">
        <f t="shared" si="34"/>
        <v>12</v>
      </c>
      <c r="R98">
        <f t="shared" si="35"/>
        <v>21</v>
      </c>
      <c r="S98" t="str">
        <f t="shared" si="36"/>
        <v>Games</v>
      </c>
      <c r="T98" t="str">
        <f t="shared" si="37"/>
        <v>David</v>
      </c>
      <c r="U98" t="str">
        <f t="shared" si="38"/>
        <v>20171017</v>
      </c>
      <c r="V98" t="str">
        <f t="shared" si="39"/>
        <v>963</v>
      </c>
      <c r="W98" s="4">
        <f t="shared" si="40"/>
        <v>43025</v>
      </c>
      <c r="X98" s="5">
        <f t="shared" si="41"/>
        <v>963</v>
      </c>
    </row>
    <row r="99" spans="3:24" x14ac:dyDescent="0.35">
      <c r="C99" s="2">
        <f t="shared" si="21"/>
        <v>98</v>
      </c>
      <c r="D99" t="s">
        <v>97</v>
      </c>
      <c r="E99">
        <f t="shared" si="22"/>
        <v>31</v>
      </c>
      <c r="F99" t="str">
        <f t="shared" si="23"/>
        <v xml:space="preserve">//PR:Games__SP:Alice20171022     $0     </v>
      </c>
      <c r="G99">
        <f t="shared" si="24"/>
        <v>32</v>
      </c>
      <c r="H99" t="str">
        <f t="shared" si="25"/>
        <v>//PR:Games__SP:Alice20171022     $0</v>
      </c>
      <c r="I99">
        <f t="shared" si="26"/>
        <v>48</v>
      </c>
      <c r="J99" t="str">
        <f t="shared" si="27"/>
        <v>PR:Games__SP:Alice20171022     $0</v>
      </c>
      <c r="K99" t="str">
        <f t="shared" si="28"/>
        <v>PR:Games  SP:Alice20171022     $0</v>
      </c>
      <c r="L99" t="str">
        <f t="shared" si="29"/>
        <v>Games  SP:Alice20171022     $0</v>
      </c>
      <c r="M99" t="str">
        <f t="shared" si="30"/>
        <v>Games  Alice20171022     $0</v>
      </c>
      <c r="N99" t="str">
        <f t="shared" si="31"/>
        <v>Games Alice20171022 $0</v>
      </c>
      <c r="O99" t="str">
        <f t="shared" si="32"/>
        <v>Games Alice 20171022 $0</v>
      </c>
      <c r="P99">
        <f t="shared" si="33"/>
        <v>6</v>
      </c>
      <c r="Q99">
        <f t="shared" si="34"/>
        <v>12</v>
      </c>
      <c r="R99">
        <f t="shared" si="35"/>
        <v>21</v>
      </c>
      <c r="S99" t="str">
        <f t="shared" si="36"/>
        <v>Games</v>
      </c>
      <c r="T99" t="str">
        <f t="shared" si="37"/>
        <v>Alice</v>
      </c>
      <c r="U99" t="str">
        <f t="shared" si="38"/>
        <v>20171022</v>
      </c>
      <c r="V99" t="str">
        <f t="shared" si="39"/>
        <v>0</v>
      </c>
      <c r="W99" s="4">
        <f t="shared" si="40"/>
        <v>43030</v>
      </c>
      <c r="X99" s="5">
        <f t="shared" si="41"/>
        <v>0</v>
      </c>
    </row>
    <row r="100" spans="3:24" x14ac:dyDescent="0.35">
      <c r="C100" s="2">
        <f t="shared" si="21"/>
        <v>99</v>
      </c>
      <c r="D100" t="s">
        <v>98</v>
      </c>
      <c r="E100">
        <f t="shared" si="22"/>
        <v>28</v>
      </c>
      <c r="F100" t="str">
        <f t="shared" si="23"/>
        <v xml:space="preserve">/PR:Books___SP:Barney20171023 $881    </v>
      </c>
      <c r="G100">
        <f t="shared" si="24"/>
        <v>32</v>
      </c>
      <c r="H100" t="str">
        <f t="shared" si="25"/>
        <v>/PR:Books___SP:Barney20171023 $881</v>
      </c>
      <c r="I100">
        <f t="shared" si="26"/>
        <v>49</v>
      </c>
      <c r="J100" t="str">
        <f t="shared" si="27"/>
        <v>PR:Books___SP:Barney20171023 $881</v>
      </c>
      <c r="K100" t="str">
        <f t="shared" si="28"/>
        <v>PR:Books   SP:Barney20171023 $881</v>
      </c>
      <c r="L100" t="str">
        <f t="shared" si="29"/>
        <v>Books   SP:Barney20171023 $881</v>
      </c>
      <c r="M100" t="str">
        <f t="shared" si="30"/>
        <v>Books   Barney20171023 $881</v>
      </c>
      <c r="N100" t="str">
        <f t="shared" si="31"/>
        <v>Books Barney20171023 $881</v>
      </c>
      <c r="O100" t="str">
        <f t="shared" si="32"/>
        <v>Books Barney 20171023 $881</v>
      </c>
      <c r="P100">
        <f t="shared" si="33"/>
        <v>6</v>
      </c>
      <c r="Q100">
        <f t="shared" si="34"/>
        <v>13</v>
      </c>
      <c r="R100">
        <f t="shared" si="35"/>
        <v>22</v>
      </c>
      <c r="S100" t="str">
        <f t="shared" si="36"/>
        <v>Books</v>
      </c>
      <c r="T100" t="str">
        <f t="shared" si="37"/>
        <v>Barney</v>
      </c>
      <c r="U100" t="str">
        <f t="shared" si="38"/>
        <v>20171023</v>
      </c>
      <c r="V100" t="str">
        <f t="shared" si="39"/>
        <v>881</v>
      </c>
      <c r="W100" s="4">
        <f t="shared" si="40"/>
        <v>43031</v>
      </c>
      <c r="X100" s="5">
        <f t="shared" si="41"/>
        <v>881</v>
      </c>
    </row>
    <row r="101" spans="3:24" x14ac:dyDescent="0.35">
      <c r="C101" s="2">
        <f t="shared" si="21"/>
        <v>100</v>
      </c>
      <c r="D101" t="s">
        <v>99</v>
      </c>
      <c r="E101">
        <f t="shared" si="22"/>
        <v>30</v>
      </c>
      <c r="F101" t="str">
        <f t="shared" si="23"/>
        <v xml:space="preserve">/////PR:Games__SP:Carol20171025 $2083     </v>
      </c>
      <c r="G101">
        <f t="shared" si="24"/>
        <v>32</v>
      </c>
      <c r="H101" t="str">
        <f t="shared" si="25"/>
        <v>/////PR:Games__SP:Carol20171025 $2083</v>
      </c>
      <c r="I101">
        <f t="shared" si="26"/>
        <v>51</v>
      </c>
      <c r="J101" t="str">
        <f t="shared" si="27"/>
        <v>PR:Games__SP:Carol20171025 $2083</v>
      </c>
      <c r="K101" t="str">
        <f t="shared" si="28"/>
        <v>PR:Games  SP:Carol20171025 $2083</v>
      </c>
      <c r="L101" t="str">
        <f t="shared" si="29"/>
        <v>Games  SP:Carol20171025 $2083</v>
      </c>
      <c r="M101" t="str">
        <f t="shared" si="30"/>
        <v>Games  Carol20171025 $2083</v>
      </c>
      <c r="N101" t="str">
        <f t="shared" si="31"/>
        <v>Games Carol20171025 $2083</v>
      </c>
      <c r="O101" t="str">
        <f t="shared" si="32"/>
        <v>Games Carol 20171025 $2083</v>
      </c>
      <c r="P101">
        <f t="shared" si="33"/>
        <v>6</v>
      </c>
      <c r="Q101">
        <f t="shared" si="34"/>
        <v>12</v>
      </c>
      <c r="R101">
        <f t="shared" si="35"/>
        <v>21</v>
      </c>
      <c r="S101" t="str">
        <f t="shared" si="36"/>
        <v>Games</v>
      </c>
      <c r="T101" t="str">
        <f t="shared" si="37"/>
        <v>Carol</v>
      </c>
      <c r="U101" t="str">
        <f t="shared" si="38"/>
        <v>20171025</v>
      </c>
      <c r="V101" t="str">
        <f t="shared" si="39"/>
        <v>2083</v>
      </c>
      <c r="W101" s="4">
        <f t="shared" si="40"/>
        <v>43033</v>
      </c>
      <c r="X101" s="5">
        <f t="shared" si="41"/>
        <v>2083</v>
      </c>
    </row>
    <row r="102" spans="3:24" x14ac:dyDescent="0.35">
      <c r="C102" s="2">
        <f t="shared" si="21"/>
        <v>101</v>
      </c>
      <c r="D102" t="s">
        <v>100</v>
      </c>
      <c r="E102">
        <f t="shared" si="22"/>
        <v>30</v>
      </c>
      <c r="F102" t="str">
        <f t="shared" si="23"/>
        <v xml:space="preserve">///PR:Clothing___SP:Carol2017108     $772   </v>
      </c>
      <c r="G102">
        <f t="shared" si="24"/>
        <v>32</v>
      </c>
      <c r="H102" t="str">
        <f t="shared" si="25"/>
        <v>///PR:Clothing___SP:Carol2017108     $772</v>
      </c>
      <c r="I102">
        <f t="shared" si="26"/>
        <v>50</v>
      </c>
      <c r="J102" t="str">
        <f t="shared" si="27"/>
        <v>PR:Clothing___SP:Carol2017108     $772</v>
      </c>
      <c r="K102" t="str">
        <f t="shared" si="28"/>
        <v>PR:Clothing   SP:Carol2017108     $772</v>
      </c>
      <c r="L102" t="str">
        <f t="shared" si="29"/>
        <v>Clothing   SP:Carol2017108     $772</v>
      </c>
      <c r="M102" t="str">
        <f t="shared" si="30"/>
        <v>Clothing   Carol2017108     $772</v>
      </c>
      <c r="N102" t="str">
        <f t="shared" si="31"/>
        <v>Clothing Carol2017108 $772</v>
      </c>
      <c r="O102" t="str">
        <f t="shared" si="32"/>
        <v>Clothing Carol 2017108 $772</v>
      </c>
      <c r="P102">
        <f t="shared" si="33"/>
        <v>9</v>
      </c>
      <c r="Q102">
        <f t="shared" si="34"/>
        <v>15</v>
      </c>
      <c r="R102">
        <f t="shared" si="35"/>
        <v>23</v>
      </c>
      <c r="S102" t="str">
        <f t="shared" si="36"/>
        <v>Clothing</v>
      </c>
      <c r="T102" t="str">
        <f t="shared" si="37"/>
        <v>Carol</v>
      </c>
      <c r="U102" t="str">
        <f t="shared" si="38"/>
        <v>2017108</v>
      </c>
      <c r="V102" t="str">
        <f t="shared" si="39"/>
        <v>772</v>
      </c>
      <c r="W102" s="4">
        <f t="shared" si="40"/>
        <v>43016</v>
      </c>
      <c r="X102" s="5">
        <f t="shared" si="41"/>
        <v>772</v>
      </c>
    </row>
    <row r="103" spans="3:24" x14ac:dyDescent="0.35">
      <c r="C103" s="2">
        <f t="shared" si="21"/>
        <v>102</v>
      </c>
      <c r="D103" t="s">
        <v>101</v>
      </c>
      <c r="E103">
        <f t="shared" si="22"/>
        <v>31</v>
      </c>
      <c r="F103" t="str">
        <f t="shared" si="23"/>
        <v xml:space="preserve">/PR:Books___SP:Barney20171010   $725 </v>
      </c>
      <c r="G103">
        <f t="shared" si="24"/>
        <v>32</v>
      </c>
      <c r="H103" t="str">
        <f t="shared" si="25"/>
        <v>/PR:Books___SP:Barney20171010   $725</v>
      </c>
      <c r="I103">
        <f t="shared" si="26"/>
        <v>53</v>
      </c>
      <c r="J103" t="str">
        <f t="shared" si="27"/>
        <v>PR:Books___SP:Barney20171010   $725</v>
      </c>
      <c r="K103" t="str">
        <f t="shared" si="28"/>
        <v>PR:Books   SP:Barney20171010   $725</v>
      </c>
      <c r="L103" t="str">
        <f t="shared" si="29"/>
        <v>Books   SP:Barney20171010   $725</v>
      </c>
      <c r="M103" t="str">
        <f t="shared" si="30"/>
        <v>Books   Barney20171010   $725</v>
      </c>
      <c r="N103" t="str">
        <f t="shared" si="31"/>
        <v>Books Barney20171010 $725</v>
      </c>
      <c r="O103" t="str">
        <f t="shared" si="32"/>
        <v>Books Barney 20171010 $725</v>
      </c>
      <c r="P103">
        <f t="shared" si="33"/>
        <v>6</v>
      </c>
      <c r="Q103">
        <f t="shared" si="34"/>
        <v>13</v>
      </c>
      <c r="R103">
        <f t="shared" si="35"/>
        <v>22</v>
      </c>
      <c r="S103" t="str">
        <f t="shared" si="36"/>
        <v>Books</v>
      </c>
      <c r="T103" t="str">
        <f t="shared" si="37"/>
        <v>Barney</v>
      </c>
      <c r="U103" t="str">
        <f t="shared" si="38"/>
        <v>20171010</v>
      </c>
      <c r="V103" t="str">
        <f t="shared" si="39"/>
        <v>725</v>
      </c>
      <c r="W103" s="4">
        <f t="shared" si="40"/>
        <v>43018</v>
      </c>
      <c r="X103" s="5">
        <f t="shared" si="41"/>
        <v>725</v>
      </c>
    </row>
    <row r="104" spans="3:24" x14ac:dyDescent="0.35">
      <c r="C104" s="2">
        <f t="shared" si="21"/>
        <v>103</v>
      </c>
      <c r="D104" t="s">
        <v>102</v>
      </c>
      <c r="E104">
        <f t="shared" si="22"/>
        <v>30</v>
      </c>
      <c r="F104" t="str">
        <f t="shared" si="23"/>
        <v xml:space="preserve">/PR:Music_SP:Barney20171029   $0 </v>
      </c>
      <c r="G104">
        <f t="shared" si="24"/>
        <v>32</v>
      </c>
      <c r="H104" t="str">
        <f t="shared" si="25"/>
        <v>/PR:Music_SP:Barney20171029   $0</v>
      </c>
      <c r="I104">
        <f t="shared" si="26"/>
        <v>48</v>
      </c>
      <c r="J104" t="str">
        <f t="shared" si="27"/>
        <v>PR:Music_SP:Barney20171029   $0</v>
      </c>
      <c r="K104" t="str">
        <f t="shared" si="28"/>
        <v>PR:Music SP:Barney20171029   $0</v>
      </c>
      <c r="L104" t="str">
        <f t="shared" si="29"/>
        <v>Music SP:Barney20171029   $0</v>
      </c>
      <c r="M104" t="str">
        <f t="shared" si="30"/>
        <v>Music Barney20171029   $0</v>
      </c>
      <c r="N104" t="str">
        <f t="shared" si="31"/>
        <v>Music Barney20171029 $0</v>
      </c>
      <c r="O104" t="str">
        <f t="shared" si="32"/>
        <v>Music Barney 20171029 $0</v>
      </c>
      <c r="P104">
        <f t="shared" si="33"/>
        <v>6</v>
      </c>
      <c r="Q104">
        <f t="shared" si="34"/>
        <v>13</v>
      </c>
      <c r="R104">
        <f t="shared" si="35"/>
        <v>22</v>
      </c>
      <c r="S104" t="str">
        <f t="shared" si="36"/>
        <v>Music</v>
      </c>
      <c r="T104" t="str">
        <f t="shared" si="37"/>
        <v>Barney</v>
      </c>
      <c r="U104" t="str">
        <f t="shared" si="38"/>
        <v>20171029</v>
      </c>
      <c r="V104" t="str">
        <f t="shared" si="39"/>
        <v>0</v>
      </c>
      <c r="W104" s="4">
        <f t="shared" si="40"/>
        <v>43037</v>
      </c>
      <c r="X104" s="5">
        <f t="shared" si="41"/>
        <v>0</v>
      </c>
    </row>
    <row r="105" spans="3:24" x14ac:dyDescent="0.35">
      <c r="C105" s="2">
        <f t="shared" si="21"/>
        <v>104</v>
      </c>
      <c r="D105" t="s">
        <v>103</v>
      </c>
      <c r="E105">
        <f t="shared" si="22"/>
        <v>30</v>
      </c>
      <c r="F105" t="str">
        <f t="shared" si="23"/>
        <v xml:space="preserve">////PR:Games__SP:Barney2017107 $1117    </v>
      </c>
      <c r="G105">
        <f t="shared" si="24"/>
        <v>32</v>
      </c>
      <c r="H105" t="str">
        <f t="shared" si="25"/>
        <v>////PR:Games__SP:Barney2017107 $1117</v>
      </c>
      <c r="I105">
        <f t="shared" si="26"/>
        <v>55</v>
      </c>
      <c r="J105" t="str">
        <f t="shared" si="27"/>
        <v>PR:Games__SP:Barney2017107 $1117</v>
      </c>
      <c r="K105" t="str">
        <f t="shared" si="28"/>
        <v>PR:Games  SP:Barney2017107 $1117</v>
      </c>
      <c r="L105" t="str">
        <f t="shared" si="29"/>
        <v>Games  SP:Barney2017107 $1117</v>
      </c>
      <c r="M105" t="str">
        <f t="shared" si="30"/>
        <v>Games  Barney2017107 $1117</v>
      </c>
      <c r="N105" t="str">
        <f t="shared" si="31"/>
        <v>Games Barney2017107 $1117</v>
      </c>
      <c r="O105" t="str">
        <f t="shared" si="32"/>
        <v>Games Barney 2017107 $1117</v>
      </c>
      <c r="P105">
        <f t="shared" si="33"/>
        <v>6</v>
      </c>
      <c r="Q105">
        <f t="shared" si="34"/>
        <v>13</v>
      </c>
      <c r="R105">
        <f t="shared" si="35"/>
        <v>21</v>
      </c>
      <c r="S105" t="str">
        <f t="shared" si="36"/>
        <v>Games</v>
      </c>
      <c r="T105" t="str">
        <f t="shared" si="37"/>
        <v>Barney</v>
      </c>
      <c r="U105" t="str">
        <f t="shared" si="38"/>
        <v>2017107</v>
      </c>
      <c r="V105" t="str">
        <f t="shared" si="39"/>
        <v>1117</v>
      </c>
      <c r="W105" s="4">
        <f t="shared" si="40"/>
        <v>43015</v>
      </c>
      <c r="X105" s="5">
        <f t="shared" si="41"/>
        <v>1117</v>
      </c>
    </row>
    <row r="106" spans="3:24" x14ac:dyDescent="0.35">
      <c r="C106" s="2">
        <f t="shared" si="21"/>
        <v>105</v>
      </c>
      <c r="D106" t="s">
        <v>104</v>
      </c>
      <c r="E106">
        <f t="shared" si="22"/>
        <v>31</v>
      </c>
      <c r="F106" t="str">
        <f t="shared" si="23"/>
        <v xml:space="preserve">////PR:Music___SP:Barney2017105   $1492  </v>
      </c>
      <c r="G106">
        <f t="shared" si="24"/>
        <v>32</v>
      </c>
      <c r="H106" t="str">
        <f t="shared" si="25"/>
        <v>////PR:Music___SP:Barney2017105   $1492</v>
      </c>
      <c r="I106">
        <f t="shared" si="26"/>
        <v>50</v>
      </c>
      <c r="J106" t="str">
        <f t="shared" si="27"/>
        <v>PR:Music___SP:Barney2017105   $1492</v>
      </c>
      <c r="K106" t="str">
        <f t="shared" si="28"/>
        <v>PR:Music   SP:Barney2017105   $1492</v>
      </c>
      <c r="L106" t="str">
        <f t="shared" si="29"/>
        <v>Music   SP:Barney2017105   $1492</v>
      </c>
      <c r="M106" t="str">
        <f t="shared" si="30"/>
        <v>Music   Barney2017105   $1492</v>
      </c>
      <c r="N106" t="str">
        <f t="shared" si="31"/>
        <v>Music Barney2017105 $1492</v>
      </c>
      <c r="O106" t="str">
        <f t="shared" si="32"/>
        <v>Music Barney 2017105 $1492</v>
      </c>
      <c r="P106">
        <f t="shared" si="33"/>
        <v>6</v>
      </c>
      <c r="Q106">
        <f t="shared" si="34"/>
        <v>13</v>
      </c>
      <c r="R106">
        <f t="shared" si="35"/>
        <v>21</v>
      </c>
      <c r="S106" t="str">
        <f t="shared" si="36"/>
        <v>Music</v>
      </c>
      <c r="T106" t="str">
        <f t="shared" si="37"/>
        <v>Barney</v>
      </c>
      <c r="U106" t="str">
        <f t="shared" si="38"/>
        <v>2017105</v>
      </c>
      <c r="V106" t="str">
        <f t="shared" si="39"/>
        <v>1492</v>
      </c>
      <c r="W106" s="4">
        <f t="shared" si="40"/>
        <v>43013</v>
      </c>
      <c r="X106" s="5">
        <f t="shared" si="41"/>
        <v>1492</v>
      </c>
    </row>
    <row r="107" spans="3:24" x14ac:dyDescent="0.35">
      <c r="C107" s="2">
        <f t="shared" si="21"/>
        <v>106</v>
      </c>
      <c r="D107" t="s">
        <v>105</v>
      </c>
      <c r="E107">
        <f t="shared" si="22"/>
        <v>28</v>
      </c>
      <c r="F107" t="str">
        <f t="shared" si="23"/>
        <v xml:space="preserve">/PR:Books_SP:Carol20171012    $500 </v>
      </c>
      <c r="G107">
        <f t="shared" si="24"/>
        <v>32</v>
      </c>
      <c r="H107" t="str">
        <f t="shared" si="25"/>
        <v>/PR:Books_SP:Carol20171012    $500</v>
      </c>
      <c r="I107">
        <f t="shared" si="26"/>
        <v>48</v>
      </c>
      <c r="J107" t="str">
        <f t="shared" si="27"/>
        <v>PR:Books_SP:Carol20171012    $500</v>
      </c>
      <c r="K107" t="str">
        <f t="shared" si="28"/>
        <v>PR:Books SP:Carol20171012    $500</v>
      </c>
      <c r="L107" t="str">
        <f t="shared" si="29"/>
        <v>Books SP:Carol20171012    $500</v>
      </c>
      <c r="M107" t="str">
        <f t="shared" si="30"/>
        <v>Books Carol20171012    $500</v>
      </c>
      <c r="N107" t="str">
        <f t="shared" si="31"/>
        <v>Books Carol20171012 $500</v>
      </c>
      <c r="O107" t="str">
        <f t="shared" si="32"/>
        <v>Books Carol 20171012 $500</v>
      </c>
      <c r="P107">
        <f t="shared" si="33"/>
        <v>6</v>
      </c>
      <c r="Q107">
        <f t="shared" si="34"/>
        <v>12</v>
      </c>
      <c r="R107">
        <f t="shared" si="35"/>
        <v>21</v>
      </c>
      <c r="S107" t="str">
        <f t="shared" si="36"/>
        <v>Books</v>
      </c>
      <c r="T107" t="str">
        <f t="shared" si="37"/>
        <v>Carol</v>
      </c>
      <c r="U107" t="str">
        <f t="shared" si="38"/>
        <v>20171012</v>
      </c>
      <c r="V107" t="str">
        <f t="shared" si="39"/>
        <v>500</v>
      </c>
      <c r="W107" s="4">
        <f t="shared" si="40"/>
        <v>43020</v>
      </c>
      <c r="X107" s="5">
        <f t="shared" si="41"/>
        <v>500</v>
      </c>
    </row>
    <row r="108" spans="3:24" x14ac:dyDescent="0.35">
      <c r="C108" s="2">
        <f t="shared" si="21"/>
        <v>107</v>
      </c>
      <c r="D108" t="s">
        <v>106</v>
      </c>
      <c r="E108">
        <f t="shared" si="22"/>
        <v>30</v>
      </c>
      <c r="F108" t="str">
        <f t="shared" si="23"/>
        <v xml:space="preserve">/////PR:Books_____SP:David20171024     $528  </v>
      </c>
      <c r="G108">
        <f t="shared" si="24"/>
        <v>32</v>
      </c>
      <c r="H108" t="str">
        <f t="shared" si="25"/>
        <v>/////PR:Books_____SP:David20171024     $528</v>
      </c>
      <c r="I108">
        <f t="shared" si="26"/>
        <v>56</v>
      </c>
      <c r="J108" t="str">
        <f t="shared" si="27"/>
        <v>PR:Books_____SP:David20171024     $528</v>
      </c>
      <c r="K108" t="str">
        <f t="shared" si="28"/>
        <v>PR:Books     SP:David20171024     $528</v>
      </c>
      <c r="L108" t="str">
        <f t="shared" si="29"/>
        <v>Books     SP:David20171024     $528</v>
      </c>
      <c r="M108" t="str">
        <f t="shared" si="30"/>
        <v>Books     David20171024     $528</v>
      </c>
      <c r="N108" t="str">
        <f t="shared" si="31"/>
        <v>Books David20171024 $528</v>
      </c>
      <c r="O108" t="str">
        <f t="shared" si="32"/>
        <v>Books David 20171024 $528</v>
      </c>
      <c r="P108">
        <f t="shared" si="33"/>
        <v>6</v>
      </c>
      <c r="Q108">
        <f t="shared" si="34"/>
        <v>12</v>
      </c>
      <c r="R108">
        <f t="shared" si="35"/>
        <v>21</v>
      </c>
      <c r="S108" t="str">
        <f t="shared" si="36"/>
        <v>Books</v>
      </c>
      <c r="T108" t="str">
        <f t="shared" si="37"/>
        <v>David</v>
      </c>
      <c r="U108" t="str">
        <f t="shared" si="38"/>
        <v>20171024</v>
      </c>
      <c r="V108" t="str">
        <f t="shared" si="39"/>
        <v>528</v>
      </c>
      <c r="W108" s="4">
        <f t="shared" si="40"/>
        <v>43032</v>
      </c>
      <c r="X108" s="5">
        <f t="shared" si="41"/>
        <v>528</v>
      </c>
    </row>
    <row r="109" spans="3:24" x14ac:dyDescent="0.35">
      <c r="C109" s="2">
        <f t="shared" si="21"/>
        <v>108</v>
      </c>
      <c r="D109" t="s">
        <v>107</v>
      </c>
      <c r="E109">
        <f t="shared" si="22"/>
        <v>30</v>
      </c>
      <c r="F109" t="str">
        <f t="shared" si="23"/>
        <v xml:space="preserve">//PR:Books_SP:David20171020    $825 </v>
      </c>
      <c r="G109">
        <f t="shared" si="24"/>
        <v>32</v>
      </c>
      <c r="H109" t="str">
        <f t="shared" si="25"/>
        <v>//PR:Books_SP:David20171020    $825</v>
      </c>
      <c r="I109">
        <f t="shared" si="26"/>
        <v>53</v>
      </c>
      <c r="J109" t="str">
        <f t="shared" si="27"/>
        <v>PR:Books_SP:David20171020    $825</v>
      </c>
      <c r="K109" t="str">
        <f t="shared" si="28"/>
        <v>PR:Books SP:David20171020    $825</v>
      </c>
      <c r="L109" t="str">
        <f t="shared" si="29"/>
        <v>Books SP:David20171020    $825</v>
      </c>
      <c r="M109" t="str">
        <f t="shared" si="30"/>
        <v>Books David20171020    $825</v>
      </c>
      <c r="N109" t="str">
        <f t="shared" si="31"/>
        <v>Books David20171020 $825</v>
      </c>
      <c r="O109" t="str">
        <f t="shared" si="32"/>
        <v>Books David 20171020 $825</v>
      </c>
      <c r="P109">
        <f t="shared" si="33"/>
        <v>6</v>
      </c>
      <c r="Q109">
        <f t="shared" si="34"/>
        <v>12</v>
      </c>
      <c r="R109">
        <f t="shared" si="35"/>
        <v>21</v>
      </c>
      <c r="S109" t="str">
        <f t="shared" si="36"/>
        <v>Books</v>
      </c>
      <c r="T109" t="str">
        <f t="shared" si="37"/>
        <v>David</v>
      </c>
      <c r="U109" t="str">
        <f t="shared" si="38"/>
        <v>20171020</v>
      </c>
      <c r="V109" t="str">
        <f t="shared" si="39"/>
        <v>825</v>
      </c>
      <c r="W109" s="4">
        <f t="shared" si="40"/>
        <v>43028</v>
      </c>
      <c r="X109" s="5">
        <f t="shared" si="41"/>
        <v>825</v>
      </c>
    </row>
    <row r="110" spans="3:24" x14ac:dyDescent="0.35">
      <c r="C110" s="2">
        <f t="shared" si="21"/>
        <v>109</v>
      </c>
      <c r="D110" t="s">
        <v>108</v>
      </c>
      <c r="E110">
        <f t="shared" si="22"/>
        <v>29</v>
      </c>
      <c r="F110" t="str">
        <f t="shared" si="23"/>
        <v xml:space="preserve">////PR:Games__SP:Barney20171026    $1752  </v>
      </c>
      <c r="G110">
        <f t="shared" si="24"/>
        <v>32</v>
      </c>
      <c r="H110" t="str">
        <f t="shared" si="25"/>
        <v>////PR:Games__SP:Barney20171026    $1752</v>
      </c>
      <c r="I110">
        <f t="shared" si="26"/>
        <v>50</v>
      </c>
      <c r="J110" t="str">
        <f t="shared" si="27"/>
        <v>PR:Games__SP:Barney20171026    $1752</v>
      </c>
      <c r="K110" t="str">
        <f t="shared" si="28"/>
        <v>PR:Games  SP:Barney20171026    $1752</v>
      </c>
      <c r="L110" t="str">
        <f t="shared" si="29"/>
        <v>Games  SP:Barney20171026    $1752</v>
      </c>
      <c r="M110" t="str">
        <f t="shared" si="30"/>
        <v>Games  Barney20171026    $1752</v>
      </c>
      <c r="N110" t="str">
        <f t="shared" si="31"/>
        <v>Games Barney20171026 $1752</v>
      </c>
      <c r="O110" t="str">
        <f t="shared" si="32"/>
        <v>Games Barney 20171026 $1752</v>
      </c>
      <c r="P110">
        <f t="shared" si="33"/>
        <v>6</v>
      </c>
      <c r="Q110">
        <f t="shared" si="34"/>
        <v>13</v>
      </c>
      <c r="R110">
        <f t="shared" si="35"/>
        <v>22</v>
      </c>
      <c r="S110" t="str">
        <f t="shared" si="36"/>
        <v>Games</v>
      </c>
      <c r="T110" t="str">
        <f t="shared" si="37"/>
        <v>Barney</v>
      </c>
      <c r="U110" t="str">
        <f t="shared" si="38"/>
        <v>20171026</v>
      </c>
      <c r="V110" t="str">
        <f t="shared" si="39"/>
        <v>1752</v>
      </c>
      <c r="W110" s="4">
        <f t="shared" si="40"/>
        <v>43034</v>
      </c>
      <c r="X110" s="5">
        <f t="shared" si="41"/>
        <v>1752</v>
      </c>
    </row>
    <row r="111" spans="3:24" x14ac:dyDescent="0.35">
      <c r="C111" s="2">
        <f t="shared" si="21"/>
        <v>110</v>
      </c>
      <c r="D111" t="s">
        <v>109</v>
      </c>
      <c r="E111">
        <f t="shared" si="22"/>
        <v>30</v>
      </c>
      <c r="F111" t="str">
        <f t="shared" si="23"/>
        <v xml:space="preserve">/////PR:Games__SP:Barney20171010     $1954     </v>
      </c>
      <c r="G111">
        <f t="shared" si="24"/>
        <v>32</v>
      </c>
      <c r="H111" t="str">
        <f t="shared" si="25"/>
        <v>/////PR:Games__SP:Barney20171010     $1954</v>
      </c>
      <c r="I111">
        <f t="shared" si="26"/>
        <v>52</v>
      </c>
      <c r="J111" t="str">
        <f t="shared" si="27"/>
        <v>PR:Games__SP:Barney20171010     $1954</v>
      </c>
      <c r="K111" t="str">
        <f t="shared" si="28"/>
        <v>PR:Games  SP:Barney20171010     $1954</v>
      </c>
      <c r="L111" t="str">
        <f t="shared" si="29"/>
        <v>Games  SP:Barney20171010     $1954</v>
      </c>
      <c r="M111" t="str">
        <f t="shared" si="30"/>
        <v>Games  Barney20171010     $1954</v>
      </c>
      <c r="N111" t="str">
        <f t="shared" si="31"/>
        <v>Games Barney20171010 $1954</v>
      </c>
      <c r="O111" t="str">
        <f t="shared" si="32"/>
        <v>Games Barney 20171010 $1954</v>
      </c>
      <c r="P111">
        <f t="shared" si="33"/>
        <v>6</v>
      </c>
      <c r="Q111">
        <f t="shared" si="34"/>
        <v>13</v>
      </c>
      <c r="R111">
        <f t="shared" si="35"/>
        <v>22</v>
      </c>
      <c r="S111" t="str">
        <f t="shared" si="36"/>
        <v>Games</v>
      </c>
      <c r="T111" t="str">
        <f t="shared" si="37"/>
        <v>Barney</v>
      </c>
      <c r="U111" t="str">
        <f t="shared" si="38"/>
        <v>20171010</v>
      </c>
      <c r="V111" t="str">
        <f t="shared" si="39"/>
        <v>1954</v>
      </c>
      <c r="W111" s="4">
        <f t="shared" si="40"/>
        <v>43018</v>
      </c>
      <c r="X111" s="5">
        <f t="shared" si="41"/>
        <v>1954</v>
      </c>
    </row>
    <row r="112" spans="3:24" x14ac:dyDescent="0.35">
      <c r="C112" s="2">
        <f t="shared" si="21"/>
        <v>111</v>
      </c>
      <c r="D112" t="s">
        <v>110</v>
      </c>
      <c r="E112">
        <f t="shared" si="22"/>
        <v>28</v>
      </c>
      <c r="F112" t="str">
        <f t="shared" si="23"/>
        <v xml:space="preserve">/PR:Music_____SP:David20171025   $1179    </v>
      </c>
      <c r="G112">
        <f t="shared" si="24"/>
        <v>32</v>
      </c>
      <c r="H112" t="str">
        <f t="shared" si="25"/>
        <v>/PR:Music_____SP:David20171025   $1179</v>
      </c>
      <c r="I112">
        <f t="shared" si="26"/>
        <v>57</v>
      </c>
      <c r="J112" t="str">
        <f t="shared" si="27"/>
        <v>PR:Music_____SP:David20171025   $1179</v>
      </c>
      <c r="K112" t="str">
        <f t="shared" si="28"/>
        <v>PR:Music     SP:David20171025   $1179</v>
      </c>
      <c r="L112" t="str">
        <f t="shared" si="29"/>
        <v>Music     SP:David20171025   $1179</v>
      </c>
      <c r="M112" t="str">
        <f t="shared" si="30"/>
        <v>Music     David20171025   $1179</v>
      </c>
      <c r="N112" t="str">
        <f t="shared" si="31"/>
        <v>Music David20171025 $1179</v>
      </c>
      <c r="O112" t="str">
        <f t="shared" si="32"/>
        <v>Music David 20171025 $1179</v>
      </c>
      <c r="P112">
        <f t="shared" si="33"/>
        <v>6</v>
      </c>
      <c r="Q112">
        <f t="shared" si="34"/>
        <v>12</v>
      </c>
      <c r="R112">
        <f t="shared" si="35"/>
        <v>21</v>
      </c>
      <c r="S112" t="str">
        <f t="shared" si="36"/>
        <v>Music</v>
      </c>
      <c r="T112" t="str">
        <f t="shared" si="37"/>
        <v>David</v>
      </c>
      <c r="U112" t="str">
        <f t="shared" si="38"/>
        <v>20171025</v>
      </c>
      <c r="V112" t="str">
        <f t="shared" si="39"/>
        <v>1179</v>
      </c>
      <c r="W112" s="4">
        <f t="shared" si="40"/>
        <v>43033</v>
      </c>
      <c r="X112" s="5">
        <f t="shared" si="41"/>
        <v>1179</v>
      </c>
    </row>
    <row r="113" spans="3:24" x14ac:dyDescent="0.35">
      <c r="C113" s="2">
        <f t="shared" si="21"/>
        <v>112</v>
      </c>
      <c r="D113" t="s">
        <v>111</v>
      </c>
      <c r="E113">
        <f t="shared" si="22"/>
        <v>28</v>
      </c>
      <c r="F113" t="str">
        <f t="shared" si="23"/>
        <v xml:space="preserve">//PR:Clothing_SP:Barney2017106     $883  </v>
      </c>
      <c r="G113">
        <f t="shared" si="24"/>
        <v>32</v>
      </c>
      <c r="H113" t="str">
        <f t="shared" si="25"/>
        <v>//PR:Clothing_SP:Barney2017106     $883</v>
      </c>
      <c r="I113">
        <f t="shared" si="26"/>
        <v>51</v>
      </c>
      <c r="J113" t="str">
        <f t="shared" si="27"/>
        <v>PR:Clothing_SP:Barney2017106     $883</v>
      </c>
      <c r="K113" t="str">
        <f t="shared" si="28"/>
        <v>PR:Clothing SP:Barney2017106     $883</v>
      </c>
      <c r="L113" t="str">
        <f t="shared" si="29"/>
        <v>Clothing SP:Barney2017106     $883</v>
      </c>
      <c r="M113" t="str">
        <f t="shared" si="30"/>
        <v>Clothing Barney2017106     $883</v>
      </c>
      <c r="N113" t="str">
        <f t="shared" si="31"/>
        <v>Clothing Barney2017106 $883</v>
      </c>
      <c r="O113" t="str">
        <f t="shared" si="32"/>
        <v>Clothing Barney 2017106 $883</v>
      </c>
      <c r="P113">
        <f t="shared" si="33"/>
        <v>9</v>
      </c>
      <c r="Q113">
        <f t="shared" si="34"/>
        <v>16</v>
      </c>
      <c r="R113">
        <f t="shared" si="35"/>
        <v>24</v>
      </c>
      <c r="S113" t="str">
        <f t="shared" si="36"/>
        <v>Clothing</v>
      </c>
      <c r="T113" t="str">
        <f t="shared" si="37"/>
        <v>Barney</v>
      </c>
      <c r="U113" t="str">
        <f t="shared" si="38"/>
        <v>2017106</v>
      </c>
      <c r="V113" t="str">
        <f t="shared" si="39"/>
        <v>883</v>
      </c>
      <c r="W113" s="4">
        <f t="shared" si="40"/>
        <v>43014</v>
      </c>
      <c r="X113" s="5">
        <f t="shared" si="41"/>
        <v>883</v>
      </c>
    </row>
    <row r="114" spans="3:24" x14ac:dyDescent="0.35">
      <c r="C114" s="2">
        <f t="shared" si="21"/>
        <v>113</v>
      </c>
      <c r="D114" t="s">
        <v>112</v>
      </c>
      <c r="E114">
        <f t="shared" si="22"/>
        <v>29</v>
      </c>
      <c r="F114" t="str">
        <f t="shared" si="23"/>
        <v xml:space="preserve">/////PR:Games_____SP:Alice20171010     $2259    </v>
      </c>
      <c r="G114">
        <f t="shared" si="24"/>
        <v>32</v>
      </c>
      <c r="H114" t="str">
        <f t="shared" si="25"/>
        <v>/////PR:Games_____SP:Alice20171010     $2259</v>
      </c>
      <c r="I114">
        <f t="shared" si="26"/>
        <v>57</v>
      </c>
      <c r="J114" t="str">
        <f t="shared" si="27"/>
        <v>PR:Games_____SP:Alice20171010     $2259</v>
      </c>
      <c r="K114" t="str">
        <f t="shared" si="28"/>
        <v>PR:Games     SP:Alice20171010     $2259</v>
      </c>
      <c r="L114" t="str">
        <f t="shared" si="29"/>
        <v>Games     SP:Alice20171010     $2259</v>
      </c>
      <c r="M114" t="str">
        <f t="shared" si="30"/>
        <v>Games     Alice20171010     $2259</v>
      </c>
      <c r="N114" t="str">
        <f t="shared" si="31"/>
        <v>Games Alice20171010 $2259</v>
      </c>
      <c r="O114" t="str">
        <f t="shared" si="32"/>
        <v>Games Alice 20171010 $2259</v>
      </c>
      <c r="P114">
        <f t="shared" si="33"/>
        <v>6</v>
      </c>
      <c r="Q114">
        <f t="shared" si="34"/>
        <v>12</v>
      </c>
      <c r="R114">
        <f t="shared" si="35"/>
        <v>21</v>
      </c>
      <c r="S114" t="str">
        <f t="shared" si="36"/>
        <v>Games</v>
      </c>
      <c r="T114" t="str">
        <f t="shared" si="37"/>
        <v>Alice</v>
      </c>
      <c r="U114" t="str">
        <f t="shared" si="38"/>
        <v>20171010</v>
      </c>
      <c r="V114" t="str">
        <f t="shared" si="39"/>
        <v>2259</v>
      </c>
      <c r="W114" s="4">
        <f t="shared" si="40"/>
        <v>43018</v>
      </c>
      <c r="X114" s="5">
        <f t="shared" si="41"/>
        <v>2259</v>
      </c>
    </row>
    <row r="115" spans="3:24" x14ac:dyDescent="0.35">
      <c r="C115" s="2">
        <f t="shared" si="21"/>
        <v>114</v>
      </c>
      <c r="D115" t="s">
        <v>113</v>
      </c>
      <c r="E115">
        <f t="shared" si="22"/>
        <v>31</v>
      </c>
      <c r="F115" t="str">
        <f t="shared" si="23"/>
        <v xml:space="preserve">///PR:Music_____SP:David20171024 $965  </v>
      </c>
      <c r="G115">
        <f t="shared" si="24"/>
        <v>32</v>
      </c>
      <c r="H115" t="str">
        <f t="shared" si="25"/>
        <v>///PR:Music_____SP:David20171024 $965</v>
      </c>
      <c r="I115">
        <f t="shared" si="26"/>
        <v>53</v>
      </c>
      <c r="J115" t="str">
        <f t="shared" si="27"/>
        <v>PR:Music_____SP:David20171024 $965</v>
      </c>
      <c r="K115" t="str">
        <f t="shared" si="28"/>
        <v>PR:Music     SP:David20171024 $965</v>
      </c>
      <c r="L115" t="str">
        <f t="shared" si="29"/>
        <v>Music     SP:David20171024 $965</v>
      </c>
      <c r="M115" t="str">
        <f t="shared" si="30"/>
        <v>Music     David20171024 $965</v>
      </c>
      <c r="N115" t="str">
        <f t="shared" si="31"/>
        <v>Music David20171024 $965</v>
      </c>
      <c r="O115" t="str">
        <f t="shared" si="32"/>
        <v>Music David 20171024 $965</v>
      </c>
      <c r="P115">
        <f t="shared" si="33"/>
        <v>6</v>
      </c>
      <c r="Q115">
        <f t="shared" si="34"/>
        <v>12</v>
      </c>
      <c r="R115">
        <f t="shared" si="35"/>
        <v>21</v>
      </c>
      <c r="S115" t="str">
        <f t="shared" si="36"/>
        <v>Music</v>
      </c>
      <c r="T115" t="str">
        <f t="shared" si="37"/>
        <v>David</v>
      </c>
      <c r="U115" t="str">
        <f t="shared" si="38"/>
        <v>20171024</v>
      </c>
      <c r="V115" t="str">
        <f t="shared" si="39"/>
        <v>965</v>
      </c>
      <c r="W115" s="4">
        <f t="shared" si="40"/>
        <v>43032</v>
      </c>
      <c r="X115" s="5">
        <f t="shared" si="41"/>
        <v>965</v>
      </c>
    </row>
    <row r="116" spans="3:24" x14ac:dyDescent="0.35">
      <c r="C116" s="2">
        <f t="shared" si="21"/>
        <v>115</v>
      </c>
      <c r="D116" t="s">
        <v>114</v>
      </c>
      <c r="E116">
        <f t="shared" si="22"/>
        <v>30</v>
      </c>
      <c r="F116" t="str">
        <f t="shared" si="23"/>
        <v xml:space="preserve">//PR:Books__SP:Alice2017103     $0     </v>
      </c>
      <c r="G116">
        <f t="shared" si="24"/>
        <v>32</v>
      </c>
      <c r="H116" t="str">
        <f t="shared" si="25"/>
        <v>//PR:Books__SP:Alice2017103     $0</v>
      </c>
      <c r="I116">
        <f t="shared" si="26"/>
        <v>48</v>
      </c>
      <c r="J116" t="str">
        <f t="shared" si="27"/>
        <v>PR:Books__SP:Alice2017103     $0</v>
      </c>
      <c r="K116" t="str">
        <f t="shared" si="28"/>
        <v>PR:Books  SP:Alice2017103     $0</v>
      </c>
      <c r="L116" t="str">
        <f t="shared" si="29"/>
        <v>Books  SP:Alice2017103     $0</v>
      </c>
      <c r="M116" t="str">
        <f t="shared" si="30"/>
        <v>Books  Alice2017103     $0</v>
      </c>
      <c r="N116" t="str">
        <f t="shared" si="31"/>
        <v>Books Alice2017103 $0</v>
      </c>
      <c r="O116" t="str">
        <f t="shared" si="32"/>
        <v>Books Alice 2017103 $0</v>
      </c>
      <c r="P116">
        <f t="shared" si="33"/>
        <v>6</v>
      </c>
      <c r="Q116">
        <f t="shared" si="34"/>
        <v>12</v>
      </c>
      <c r="R116">
        <f t="shared" si="35"/>
        <v>20</v>
      </c>
      <c r="S116" t="str">
        <f t="shared" si="36"/>
        <v>Books</v>
      </c>
      <c r="T116" t="str">
        <f t="shared" si="37"/>
        <v>Alice</v>
      </c>
      <c r="U116" t="str">
        <f t="shared" si="38"/>
        <v>2017103</v>
      </c>
      <c r="V116" t="str">
        <f t="shared" si="39"/>
        <v>0</v>
      </c>
      <c r="W116" s="4">
        <f t="shared" si="40"/>
        <v>43011</v>
      </c>
      <c r="X116" s="5">
        <f t="shared" si="41"/>
        <v>0</v>
      </c>
    </row>
    <row r="117" spans="3:24" x14ac:dyDescent="0.35">
      <c r="C117" s="2">
        <f t="shared" si="21"/>
        <v>116</v>
      </c>
      <c r="D117" t="s">
        <v>115</v>
      </c>
      <c r="E117">
        <f t="shared" si="22"/>
        <v>29</v>
      </c>
      <c r="F117" t="str">
        <f t="shared" si="23"/>
        <v xml:space="preserve">////PR:Books_____SP:Carol20171029   $697    </v>
      </c>
      <c r="G117">
        <f t="shared" si="24"/>
        <v>32</v>
      </c>
      <c r="H117" t="str">
        <f t="shared" si="25"/>
        <v>////PR:Books_____SP:Carol20171029   $697</v>
      </c>
      <c r="I117">
        <f t="shared" si="26"/>
        <v>55</v>
      </c>
      <c r="J117" t="str">
        <f t="shared" si="27"/>
        <v>PR:Books_____SP:Carol20171029   $697</v>
      </c>
      <c r="K117" t="str">
        <f t="shared" si="28"/>
        <v>PR:Books     SP:Carol20171029   $697</v>
      </c>
      <c r="L117" t="str">
        <f t="shared" si="29"/>
        <v>Books     SP:Carol20171029   $697</v>
      </c>
      <c r="M117" t="str">
        <f t="shared" si="30"/>
        <v>Books     Carol20171029   $697</v>
      </c>
      <c r="N117" t="str">
        <f t="shared" si="31"/>
        <v>Books Carol20171029 $697</v>
      </c>
      <c r="O117" t="str">
        <f t="shared" si="32"/>
        <v>Books Carol 20171029 $697</v>
      </c>
      <c r="P117">
        <f t="shared" si="33"/>
        <v>6</v>
      </c>
      <c r="Q117">
        <f t="shared" si="34"/>
        <v>12</v>
      </c>
      <c r="R117">
        <f t="shared" si="35"/>
        <v>21</v>
      </c>
      <c r="S117" t="str">
        <f t="shared" si="36"/>
        <v>Books</v>
      </c>
      <c r="T117" t="str">
        <f t="shared" si="37"/>
        <v>Carol</v>
      </c>
      <c r="U117" t="str">
        <f t="shared" si="38"/>
        <v>20171029</v>
      </c>
      <c r="V117" t="str">
        <f t="shared" si="39"/>
        <v>697</v>
      </c>
      <c r="W117" s="4">
        <f t="shared" si="40"/>
        <v>43037</v>
      </c>
      <c r="X117" s="5">
        <f t="shared" si="41"/>
        <v>697</v>
      </c>
    </row>
    <row r="118" spans="3:24" x14ac:dyDescent="0.35">
      <c r="C118" s="2">
        <f t="shared" si="21"/>
        <v>117</v>
      </c>
      <c r="D118" t="s">
        <v>116</v>
      </c>
      <c r="E118">
        <f t="shared" si="22"/>
        <v>28</v>
      </c>
      <c r="F118" t="str">
        <f t="shared" si="23"/>
        <v xml:space="preserve">/////PR:Clothing_____SP:Carol20171029  $1227  </v>
      </c>
      <c r="G118">
        <f t="shared" si="24"/>
        <v>32</v>
      </c>
      <c r="H118" t="str">
        <f t="shared" si="25"/>
        <v>/////PR:Clothing_____SP:Carol20171029  $1227</v>
      </c>
      <c r="I118">
        <f t="shared" si="26"/>
        <v>55</v>
      </c>
      <c r="J118" t="str">
        <f t="shared" si="27"/>
        <v>PR:Clothing_____SP:Carol20171029  $1227</v>
      </c>
      <c r="K118" t="str">
        <f t="shared" si="28"/>
        <v>PR:Clothing     SP:Carol20171029  $1227</v>
      </c>
      <c r="L118" t="str">
        <f t="shared" si="29"/>
        <v>Clothing     SP:Carol20171029  $1227</v>
      </c>
      <c r="M118" t="str">
        <f t="shared" si="30"/>
        <v>Clothing     Carol20171029  $1227</v>
      </c>
      <c r="N118" t="str">
        <f t="shared" si="31"/>
        <v>Clothing Carol20171029 $1227</v>
      </c>
      <c r="O118" t="str">
        <f t="shared" si="32"/>
        <v>Clothing Carol 20171029 $1227</v>
      </c>
      <c r="P118">
        <f t="shared" si="33"/>
        <v>9</v>
      </c>
      <c r="Q118">
        <f t="shared" si="34"/>
        <v>15</v>
      </c>
      <c r="R118">
        <f t="shared" si="35"/>
        <v>24</v>
      </c>
      <c r="S118" t="str">
        <f t="shared" si="36"/>
        <v>Clothing</v>
      </c>
      <c r="T118" t="str">
        <f t="shared" si="37"/>
        <v>Carol</v>
      </c>
      <c r="U118" t="str">
        <f t="shared" si="38"/>
        <v>20171029</v>
      </c>
      <c r="V118" t="str">
        <f t="shared" si="39"/>
        <v>1227</v>
      </c>
      <c r="W118" s="4">
        <f t="shared" si="40"/>
        <v>43037</v>
      </c>
      <c r="X118" s="5">
        <f t="shared" si="41"/>
        <v>1227</v>
      </c>
    </row>
    <row r="119" spans="3:24" x14ac:dyDescent="0.35">
      <c r="C119" s="2">
        <f t="shared" si="21"/>
        <v>118</v>
      </c>
      <c r="D119" t="s">
        <v>117</v>
      </c>
      <c r="E119">
        <f t="shared" si="22"/>
        <v>29</v>
      </c>
      <c r="F119" t="str">
        <f t="shared" si="23"/>
        <v xml:space="preserve">/PR:Music_____SP:Carol2017103  $1061    </v>
      </c>
      <c r="G119">
        <f t="shared" si="24"/>
        <v>32</v>
      </c>
      <c r="H119" t="str">
        <f t="shared" si="25"/>
        <v>/PR:Music_____SP:Carol2017103  $1061</v>
      </c>
      <c r="I119">
        <f t="shared" si="26"/>
        <v>49</v>
      </c>
      <c r="J119" t="str">
        <f t="shared" si="27"/>
        <v>PR:Music_____SP:Carol2017103  $1061</v>
      </c>
      <c r="K119" t="str">
        <f t="shared" si="28"/>
        <v>PR:Music     SP:Carol2017103  $1061</v>
      </c>
      <c r="L119" t="str">
        <f t="shared" si="29"/>
        <v>Music     SP:Carol2017103  $1061</v>
      </c>
      <c r="M119" t="str">
        <f t="shared" si="30"/>
        <v>Music     Carol2017103  $1061</v>
      </c>
      <c r="N119" t="str">
        <f t="shared" si="31"/>
        <v>Music Carol2017103 $1061</v>
      </c>
      <c r="O119" t="str">
        <f t="shared" si="32"/>
        <v>Music Carol 2017103 $1061</v>
      </c>
      <c r="P119">
        <f t="shared" si="33"/>
        <v>6</v>
      </c>
      <c r="Q119">
        <f t="shared" si="34"/>
        <v>12</v>
      </c>
      <c r="R119">
        <f t="shared" si="35"/>
        <v>20</v>
      </c>
      <c r="S119" t="str">
        <f t="shared" si="36"/>
        <v>Music</v>
      </c>
      <c r="T119" t="str">
        <f t="shared" si="37"/>
        <v>Carol</v>
      </c>
      <c r="U119" t="str">
        <f t="shared" si="38"/>
        <v>2017103</v>
      </c>
      <c r="V119" t="str">
        <f t="shared" si="39"/>
        <v>1061</v>
      </c>
      <c r="W119" s="4">
        <f t="shared" si="40"/>
        <v>43011</v>
      </c>
      <c r="X119" s="5">
        <f t="shared" si="41"/>
        <v>1061</v>
      </c>
    </row>
    <row r="120" spans="3:24" x14ac:dyDescent="0.35">
      <c r="C120" s="2">
        <f t="shared" si="21"/>
        <v>119</v>
      </c>
      <c r="D120" t="s">
        <v>118</v>
      </c>
      <c r="E120">
        <f t="shared" si="22"/>
        <v>30</v>
      </c>
      <c r="F120" t="str">
        <f t="shared" si="23"/>
        <v xml:space="preserve">//PR:Music_____SP:Barney20171028    $925 </v>
      </c>
      <c r="G120">
        <f t="shared" si="24"/>
        <v>32</v>
      </c>
      <c r="H120" t="str">
        <f t="shared" si="25"/>
        <v>//PR:Music_____SP:Barney20171028    $925</v>
      </c>
      <c r="I120">
        <f t="shared" si="26"/>
        <v>53</v>
      </c>
      <c r="J120" t="str">
        <f t="shared" si="27"/>
        <v>PR:Music_____SP:Barney20171028    $925</v>
      </c>
      <c r="K120" t="str">
        <f t="shared" si="28"/>
        <v>PR:Music     SP:Barney20171028    $925</v>
      </c>
      <c r="L120" t="str">
        <f t="shared" si="29"/>
        <v>Music     SP:Barney20171028    $925</v>
      </c>
      <c r="M120" t="str">
        <f t="shared" si="30"/>
        <v>Music     Barney20171028    $925</v>
      </c>
      <c r="N120" t="str">
        <f t="shared" si="31"/>
        <v>Music Barney20171028 $925</v>
      </c>
      <c r="O120" t="str">
        <f t="shared" si="32"/>
        <v>Music Barney 20171028 $925</v>
      </c>
      <c r="P120">
        <f t="shared" si="33"/>
        <v>6</v>
      </c>
      <c r="Q120">
        <f t="shared" si="34"/>
        <v>13</v>
      </c>
      <c r="R120">
        <f t="shared" si="35"/>
        <v>22</v>
      </c>
      <c r="S120" t="str">
        <f t="shared" si="36"/>
        <v>Music</v>
      </c>
      <c r="T120" t="str">
        <f t="shared" si="37"/>
        <v>Barney</v>
      </c>
      <c r="U120" t="str">
        <f t="shared" si="38"/>
        <v>20171028</v>
      </c>
      <c r="V120" t="str">
        <f t="shared" si="39"/>
        <v>925</v>
      </c>
      <c r="W120" s="4">
        <f t="shared" si="40"/>
        <v>43036</v>
      </c>
      <c r="X120" s="5">
        <f t="shared" si="41"/>
        <v>925</v>
      </c>
    </row>
    <row r="121" spans="3:24" x14ac:dyDescent="0.35">
      <c r="C121" s="2">
        <f t="shared" si="21"/>
        <v>120</v>
      </c>
      <c r="D121" t="s">
        <v>119</v>
      </c>
      <c r="E121">
        <f t="shared" si="22"/>
        <v>31</v>
      </c>
      <c r="F121" t="str">
        <f t="shared" si="23"/>
        <v xml:space="preserve">/////PR:Games__SP:David2017108   $2271    </v>
      </c>
      <c r="G121">
        <f t="shared" si="24"/>
        <v>32</v>
      </c>
      <c r="H121" t="str">
        <f t="shared" si="25"/>
        <v>/////PR:Games__SP:David2017108   $2271</v>
      </c>
      <c r="I121">
        <f t="shared" si="26"/>
        <v>49</v>
      </c>
      <c r="J121" t="str">
        <f t="shared" si="27"/>
        <v>PR:Games__SP:David2017108   $2271</v>
      </c>
      <c r="K121" t="str">
        <f t="shared" si="28"/>
        <v>PR:Games  SP:David2017108   $2271</v>
      </c>
      <c r="L121" t="str">
        <f t="shared" si="29"/>
        <v>Games  SP:David2017108   $2271</v>
      </c>
      <c r="M121" t="str">
        <f t="shared" si="30"/>
        <v>Games  David2017108   $2271</v>
      </c>
      <c r="N121" t="str">
        <f t="shared" si="31"/>
        <v>Games David2017108 $2271</v>
      </c>
      <c r="O121" t="str">
        <f t="shared" si="32"/>
        <v>Games David 2017108 $2271</v>
      </c>
      <c r="P121">
        <f t="shared" si="33"/>
        <v>6</v>
      </c>
      <c r="Q121">
        <f t="shared" si="34"/>
        <v>12</v>
      </c>
      <c r="R121">
        <f t="shared" si="35"/>
        <v>20</v>
      </c>
      <c r="S121" t="str">
        <f t="shared" si="36"/>
        <v>Games</v>
      </c>
      <c r="T121" t="str">
        <f t="shared" si="37"/>
        <v>David</v>
      </c>
      <c r="U121" t="str">
        <f t="shared" si="38"/>
        <v>2017108</v>
      </c>
      <c r="V121" t="str">
        <f t="shared" si="39"/>
        <v>2271</v>
      </c>
      <c r="W121" s="4">
        <f t="shared" si="40"/>
        <v>43016</v>
      </c>
      <c r="X121" s="5">
        <f t="shared" si="41"/>
        <v>2271</v>
      </c>
    </row>
    <row r="122" spans="3:24" x14ac:dyDescent="0.35">
      <c r="C122" s="2">
        <f t="shared" si="21"/>
        <v>121</v>
      </c>
      <c r="D122" t="s">
        <v>120</v>
      </c>
      <c r="E122">
        <f t="shared" si="22"/>
        <v>29</v>
      </c>
      <c r="F122" t="str">
        <f t="shared" si="23"/>
        <v xml:space="preserve">/PR:Music_____SP:Barney2017103    $1170   </v>
      </c>
      <c r="G122">
        <f t="shared" si="24"/>
        <v>32</v>
      </c>
      <c r="H122" t="str">
        <f t="shared" si="25"/>
        <v>/PR:Music_____SP:Barney2017103    $1170</v>
      </c>
      <c r="I122">
        <f t="shared" si="26"/>
        <v>48</v>
      </c>
      <c r="J122" t="str">
        <f t="shared" si="27"/>
        <v>PR:Music_____SP:Barney2017103    $1170</v>
      </c>
      <c r="K122" t="str">
        <f t="shared" si="28"/>
        <v>PR:Music     SP:Barney2017103    $1170</v>
      </c>
      <c r="L122" t="str">
        <f t="shared" si="29"/>
        <v>Music     SP:Barney2017103    $1170</v>
      </c>
      <c r="M122" t="str">
        <f t="shared" si="30"/>
        <v>Music     Barney2017103    $1170</v>
      </c>
      <c r="N122" t="str">
        <f t="shared" si="31"/>
        <v>Music Barney2017103 $1170</v>
      </c>
      <c r="O122" t="str">
        <f t="shared" si="32"/>
        <v>Music Barney 2017103 $1170</v>
      </c>
      <c r="P122">
        <f t="shared" si="33"/>
        <v>6</v>
      </c>
      <c r="Q122">
        <f t="shared" si="34"/>
        <v>13</v>
      </c>
      <c r="R122">
        <f t="shared" si="35"/>
        <v>21</v>
      </c>
      <c r="S122" t="str">
        <f t="shared" si="36"/>
        <v>Music</v>
      </c>
      <c r="T122" t="str">
        <f t="shared" si="37"/>
        <v>Barney</v>
      </c>
      <c r="U122" t="str">
        <f t="shared" si="38"/>
        <v>2017103</v>
      </c>
      <c r="V122" t="str">
        <f t="shared" si="39"/>
        <v>1170</v>
      </c>
      <c r="W122" s="4">
        <f t="shared" si="40"/>
        <v>43011</v>
      </c>
      <c r="X122" s="5">
        <f t="shared" si="41"/>
        <v>1170</v>
      </c>
    </row>
    <row r="123" spans="3:24" x14ac:dyDescent="0.35">
      <c r="C123" s="2">
        <f t="shared" si="21"/>
        <v>122</v>
      </c>
      <c r="D123" t="s">
        <v>121</v>
      </c>
      <c r="E123">
        <f t="shared" si="22"/>
        <v>30</v>
      </c>
      <c r="F123" t="str">
        <f t="shared" si="23"/>
        <v xml:space="preserve">/////PR:Clothing_SP:David20171027    $1154   </v>
      </c>
      <c r="G123">
        <f t="shared" si="24"/>
        <v>32</v>
      </c>
      <c r="H123" t="str">
        <f t="shared" si="25"/>
        <v>/////PR:Clothing_SP:David20171027    $1154</v>
      </c>
      <c r="I123">
        <f t="shared" si="26"/>
        <v>52</v>
      </c>
      <c r="J123" t="str">
        <f t="shared" si="27"/>
        <v>PR:Clothing_SP:David20171027    $1154</v>
      </c>
      <c r="K123" t="str">
        <f t="shared" si="28"/>
        <v>PR:Clothing SP:David20171027    $1154</v>
      </c>
      <c r="L123" t="str">
        <f t="shared" si="29"/>
        <v>Clothing SP:David20171027    $1154</v>
      </c>
      <c r="M123" t="str">
        <f t="shared" si="30"/>
        <v>Clothing David20171027    $1154</v>
      </c>
      <c r="N123" t="str">
        <f t="shared" si="31"/>
        <v>Clothing David20171027 $1154</v>
      </c>
      <c r="O123" t="str">
        <f t="shared" si="32"/>
        <v>Clothing David 20171027 $1154</v>
      </c>
      <c r="P123">
        <f t="shared" si="33"/>
        <v>9</v>
      </c>
      <c r="Q123">
        <f t="shared" si="34"/>
        <v>15</v>
      </c>
      <c r="R123">
        <f t="shared" si="35"/>
        <v>24</v>
      </c>
      <c r="S123" t="str">
        <f t="shared" si="36"/>
        <v>Clothing</v>
      </c>
      <c r="T123" t="str">
        <f t="shared" si="37"/>
        <v>David</v>
      </c>
      <c r="U123" t="str">
        <f t="shared" si="38"/>
        <v>20171027</v>
      </c>
      <c r="V123" t="str">
        <f t="shared" si="39"/>
        <v>1154</v>
      </c>
      <c r="W123" s="4">
        <f t="shared" si="40"/>
        <v>43035</v>
      </c>
      <c r="X123" s="5">
        <f t="shared" si="41"/>
        <v>1154</v>
      </c>
    </row>
    <row r="124" spans="3:24" x14ac:dyDescent="0.35">
      <c r="C124" s="2">
        <f t="shared" si="21"/>
        <v>123</v>
      </c>
      <c r="D124" t="s">
        <v>122</v>
      </c>
      <c r="E124">
        <f t="shared" si="22"/>
        <v>28</v>
      </c>
      <c r="F124" t="str">
        <f t="shared" si="23"/>
        <v xml:space="preserve">/////PR:Books___SP:David20171016  $598   </v>
      </c>
      <c r="G124">
        <f t="shared" si="24"/>
        <v>32</v>
      </c>
      <c r="H124" t="str">
        <f t="shared" si="25"/>
        <v>/////PR:Books___SP:David20171016  $598</v>
      </c>
      <c r="I124">
        <f t="shared" si="26"/>
        <v>56</v>
      </c>
      <c r="J124" t="str">
        <f t="shared" si="27"/>
        <v>PR:Books___SP:David20171016  $598</v>
      </c>
      <c r="K124" t="str">
        <f t="shared" si="28"/>
        <v>PR:Books   SP:David20171016  $598</v>
      </c>
      <c r="L124" t="str">
        <f t="shared" si="29"/>
        <v>Books   SP:David20171016  $598</v>
      </c>
      <c r="M124" t="str">
        <f t="shared" si="30"/>
        <v>Books   David20171016  $598</v>
      </c>
      <c r="N124" t="str">
        <f t="shared" si="31"/>
        <v>Books David20171016 $598</v>
      </c>
      <c r="O124" t="str">
        <f t="shared" si="32"/>
        <v>Books David 20171016 $598</v>
      </c>
      <c r="P124">
        <f t="shared" si="33"/>
        <v>6</v>
      </c>
      <c r="Q124">
        <f t="shared" si="34"/>
        <v>12</v>
      </c>
      <c r="R124">
        <f t="shared" si="35"/>
        <v>21</v>
      </c>
      <c r="S124" t="str">
        <f t="shared" si="36"/>
        <v>Books</v>
      </c>
      <c r="T124" t="str">
        <f t="shared" si="37"/>
        <v>David</v>
      </c>
      <c r="U124" t="str">
        <f t="shared" si="38"/>
        <v>20171016</v>
      </c>
      <c r="V124" t="str">
        <f t="shared" si="39"/>
        <v>598</v>
      </c>
      <c r="W124" s="4">
        <f t="shared" si="40"/>
        <v>43024</v>
      </c>
      <c r="X124" s="5">
        <f t="shared" si="41"/>
        <v>598</v>
      </c>
    </row>
    <row r="125" spans="3:24" x14ac:dyDescent="0.35">
      <c r="C125" s="2">
        <f t="shared" si="21"/>
        <v>124</v>
      </c>
      <c r="D125" t="s">
        <v>123</v>
      </c>
      <c r="E125">
        <f t="shared" si="22"/>
        <v>28</v>
      </c>
      <c r="F125" t="str">
        <f t="shared" si="23"/>
        <v xml:space="preserve">///PR:Games___SP:Alice20171016  $1101     </v>
      </c>
      <c r="G125">
        <f t="shared" si="24"/>
        <v>32</v>
      </c>
      <c r="H125" t="str">
        <f t="shared" si="25"/>
        <v>///PR:Games___SP:Alice20171016  $1101</v>
      </c>
      <c r="I125">
        <f t="shared" si="26"/>
        <v>49</v>
      </c>
      <c r="J125" t="str">
        <f t="shared" si="27"/>
        <v>PR:Games___SP:Alice20171016  $1101</v>
      </c>
      <c r="K125" t="str">
        <f t="shared" si="28"/>
        <v>PR:Games   SP:Alice20171016  $1101</v>
      </c>
      <c r="L125" t="str">
        <f t="shared" si="29"/>
        <v>Games   SP:Alice20171016  $1101</v>
      </c>
      <c r="M125" t="str">
        <f t="shared" si="30"/>
        <v>Games   Alice20171016  $1101</v>
      </c>
      <c r="N125" t="str">
        <f t="shared" si="31"/>
        <v>Games Alice20171016 $1101</v>
      </c>
      <c r="O125" t="str">
        <f t="shared" si="32"/>
        <v>Games Alice 20171016 $1101</v>
      </c>
      <c r="P125">
        <f t="shared" si="33"/>
        <v>6</v>
      </c>
      <c r="Q125">
        <f t="shared" si="34"/>
        <v>12</v>
      </c>
      <c r="R125">
        <f t="shared" si="35"/>
        <v>21</v>
      </c>
      <c r="S125" t="str">
        <f t="shared" si="36"/>
        <v>Games</v>
      </c>
      <c r="T125" t="str">
        <f t="shared" si="37"/>
        <v>Alice</v>
      </c>
      <c r="U125" t="str">
        <f t="shared" si="38"/>
        <v>20171016</v>
      </c>
      <c r="V125" t="str">
        <f t="shared" si="39"/>
        <v>1101</v>
      </c>
      <c r="W125" s="4">
        <f t="shared" si="40"/>
        <v>43024</v>
      </c>
      <c r="X125" s="5">
        <f t="shared" si="41"/>
        <v>1101</v>
      </c>
    </row>
    <row r="126" spans="3:24" x14ac:dyDescent="0.35">
      <c r="C126" s="2">
        <f t="shared" si="21"/>
        <v>125</v>
      </c>
      <c r="D126" t="s">
        <v>124</v>
      </c>
      <c r="E126">
        <f t="shared" si="22"/>
        <v>28</v>
      </c>
      <c r="F126" t="str">
        <f t="shared" si="23"/>
        <v xml:space="preserve">///PR:Books____SP:Barney20171028    $905 </v>
      </c>
      <c r="G126">
        <f t="shared" si="24"/>
        <v>32</v>
      </c>
      <c r="H126" t="str">
        <f t="shared" si="25"/>
        <v>///PR:Books____SP:Barney20171028    $905</v>
      </c>
      <c r="I126">
        <f t="shared" si="26"/>
        <v>53</v>
      </c>
      <c r="J126" t="str">
        <f t="shared" si="27"/>
        <v>PR:Books____SP:Barney20171028    $905</v>
      </c>
      <c r="K126" t="str">
        <f t="shared" si="28"/>
        <v>PR:Books    SP:Barney20171028    $905</v>
      </c>
      <c r="L126" t="str">
        <f t="shared" si="29"/>
        <v>Books    SP:Barney20171028    $905</v>
      </c>
      <c r="M126" t="str">
        <f t="shared" si="30"/>
        <v>Books    Barney20171028    $905</v>
      </c>
      <c r="N126" t="str">
        <f t="shared" si="31"/>
        <v>Books Barney20171028 $905</v>
      </c>
      <c r="O126" t="str">
        <f t="shared" si="32"/>
        <v>Books Barney 20171028 $905</v>
      </c>
      <c r="P126">
        <f t="shared" si="33"/>
        <v>6</v>
      </c>
      <c r="Q126">
        <f t="shared" si="34"/>
        <v>13</v>
      </c>
      <c r="R126">
        <f t="shared" si="35"/>
        <v>22</v>
      </c>
      <c r="S126" t="str">
        <f t="shared" si="36"/>
        <v>Books</v>
      </c>
      <c r="T126" t="str">
        <f t="shared" si="37"/>
        <v>Barney</v>
      </c>
      <c r="U126" t="str">
        <f t="shared" si="38"/>
        <v>20171028</v>
      </c>
      <c r="V126" t="str">
        <f t="shared" si="39"/>
        <v>905</v>
      </c>
      <c r="W126" s="4">
        <f t="shared" si="40"/>
        <v>43036</v>
      </c>
      <c r="X126" s="5">
        <f t="shared" si="41"/>
        <v>905</v>
      </c>
    </row>
    <row r="127" spans="3:24" x14ac:dyDescent="0.35">
      <c r="C127" s="2">
        <f t="shared" si="21"/>
        <v>126</v>
      </c>
      <c r="D127" t="s">
        <v>125</v>
      </c>
      <c r="E127">
        <f t="shared" si="22"/>
        <v>29</v>
      </c>
      <c r="F127" t="str">
        <f t="shared" si="23"/>
        <v xml:space="preserve">////PR:Books____SP:Barney2017104    $818  </v>
      </c>
      <c r="G127">
        <f t="shared" si="24"/>
        <v>32</v>
      </c>
      <c r="H127" t="str">
        <f t="shared" si="25"/>
        <v>////PR:Books____SP:Barney2017104    $818</v>
      </c>
      <c r="I127">
        <f t="shared" si="26"/>
        <v>56</v>
      </c>
      <c r="J127" t="str">
        <f t="shared" si="27"/>
        <v>PR:Books____SP:Barney2017104    $818</v>
      </c>
      <c r="K127" t="str">
        <f t="shared" si="28"/>
        <v>PR:Books    SP:Barney2017104    $818</v>
      </c>
      <c r="L127" t="str">
        <f t="shared" si="29"/>
        <v>Books    SP:Barney2017104    $818</v>
      </c>
      <c r="M127" t="str">
        <f t="shared" si="30"/>
        <v>Books    Barney2017104    $818</v>
      </c>
      <c r="N127" t="str">
        <f t="shared" si="31"/>
        <v>Books Barney2017104 $818</v>
      </c>
      <c r="O127" t="str">
        <f t="shared" si="32"/>
        <v>Books Barney 2017104 $818</v>
      </c>
      <c r="P127">
        <f t="shared" si="33"/>
        <v>6</v>
      </c>
      <c r="Q127">
        <f t="shared" si="34"/>
        <v>13</v>
      </c>
      <c r="R127">
        <f t="shared" si="35"/>
        <v>21</v>
      </c>
      <c r="S127" t="str">
        <f t="shared" si="36"/>
        <v>Books</v>
      </c>
      <c r="T127" t="str">
        <f t="shared" si="37"/>
        <v>Barney</v>
      </c>
      <c r="U127" t="str">
        <f t="shared" si="38"/>
        <v>2017104</v>
      </c>
      <c r="V127" t="str">
        <f t="shared" si="39"/>
        <v>818</v>
      </c>
      <c r="W127" s="4">
        <f t="shared" si="40"/>
        <v>43012</v>
      </c>
      <c r="X127" s="5">
        <f t="shared" si="41"/>
        <v>818</v>
      </c>
    </row>
    <row r="128" spans="3:24" x14ac:dyDescent="0.35">
      <c r="C128" s="2">
        <f t="shared" si="21"/>
        <v>127</v>
      </c>
      <c r="D128" t="s">
        <v>126</v>
      </c>
      <c r="E128">
        <f t="shared" si="22"/>
        <v>28</v>
      </c>
      <c r="F128" t="str">
        <f t="shared" si="23"/>
        <v xml:space="preserve">/PR:Games____SP:David2017104     $0   </v>
      </c>
      <c r="G128">
        <f t="shared" si="24"/>
        <v>32</v>
      </c>
      <c r="H128" t="str">
        <f t="shared" si="25"/>
        <v>/PR:Games____SP:David2017104     $0</v>
      </c>
      <c r="I128">
        <f t="shared" si="26"/>
        <v>48</v>
      </c>
      <c r="J128" t="str">
        <f t="shared" si="27"/>
        <v>PR:Games____SP:David2017104     $0</v>
      </c>
      <c r="K128" t="str">
        <f t="shared" si="28"/>
        <v>PR:Games    SP:David2017104     $0</v>
      </c>
      <c r="L128" t="str">
        <f t="shared" si="29"/>
        <v>Games    SP:David2017104     $0</v>
      </c>
      <c r="M128" t="str">
        <f t="shared" si="30"/>
        <v>Games    David2017104     $0</v>
      </c>
      <c r="N128" t="str">
        <f t="shared" si="31"/>
        <v>Games David2017104 $0</v>
      </c>
      <c r="O128" t="str">
        <f t="shared" si="32"/>
        <v>Games David 2017104 $0</v>
      </c>
      <c r="P128">
        <f t="shared" si="33"/>
        <v>6</v>
      </c>
      <c r="Q128">
        <f t="shared" si="34"/>
        <v>12</v>
      </c>
      <c r="R128">
        <f t="shared" si="35"/>
        <v>20</v>
      </c>
      <c r="S128" t="str">
        <f t="shared" si="36"/>
        <v>Games</v>
      </c>
      <c r="T128" t="str">
        <f t="shared" si="37"/>
        <v>David</v>
      </c>
      <c r="U128" t="str">
        <f t="shared" si="38"/>
        <v>2017104</v>
      </c>
      <c r="V128" t="str">
        <f t="shared" si="39"/>
        <v>0</v>
      </c>
      <c r="W128" s="4">
        <f t="shared" si="40"/>
        <v>43012</v>
      </c>
      <c r="X128" s="5">
        <f t="shared" si="41"/>
        <v>0</v>
      </c>
    </row>
    <row r="129" spans="3:24" x14ac:dyDescent="0.35">
      <c r="C129" s="2">
        <f t="shared" si="21"/>
        <v>128</v>
      </c>
      <c r="D129" t="s">
        <v>127</v>
      </c>
      <c r="E129">
        <f t="shared" si="22"/>
        <v>30</v>
      </c>
      <c r="F129" t="str">
        <f t="shared" si="23"/>
        <v xml:space="preserve">//PR:Books___SP:Alice20171017  $820     </v>
      </c>
      <c r="G129">
        <f t="shared" si="24"/>
        <v>32</v>
      </c>
      <c r="H129" t="str">
        <f t="shared" si="25"/>
        <v>//PR:Books___SP:Alice20171017  $820</v>
      </c>
      <c r="I129">
        <f t="shared" si="26"/>
        <v>48</v>
      </c>
      <c r="J129" t="str">
        <f t="shared" si="27"/>
        <v>PR:Books___SP:Alice20171017  $820</v>
      </c>
      <c r="K129" t="str">
        <f t="shared" si="28"/>
        <v>PR:Books   SP:Alice20171017  $820</v>
      </c>
      <c r="L129" t="str">
        <f t="shared" si="29"/>
        <v>Books   SP:Alice20171017  $820</v>
      </c>
      <c r="M129" t="str">
        <f t="shared" si="30"/>
        <v>Books   Alice20171017  $820</v>
      </c>
      <c r="N129" t="str">
        <f t="shared" si="31"/>
        <v>Books Alice20171017 $820</v>
      </c>
      <c r="O129" t="str">
        <f t="shared" si="32"/>
        <v>Books Alice 20171017 $820</v>
      </c>
      <c r="P129">
        <f t="shared" si="33"/>
        <v>6</v>
      </c>
      <c r="Q129">
        <f t="shared" si="34"/>
        <v>12</v>
      </c>
      <c r="R129">
        <f t="shared" si="35"/>
        <v>21</v>
      </c>
      <c r="S129" t="str">
        <f t="shared" si="36"/>
        <v>Books</v>
      </c>
      <c r="T129" t="str">
        <f t="shared" si="37"/>
        <v>Alice</v>
      </c>
      <c r="U129" t="str">
        <f t="shared" si="38"/>
        <v>20171017</v>
      </c>
      <c r="V129" t="str">
        <f t="shared" si="39"/>
        <v>820</v>
      </c>
      <c r="W129" s="4">
        <f t="shared" si="40"/>
        <v>43025</v>
      </c>
      <c r="X129" s="5">
        <f t="shared" si="41"/>
        <v>820</v>
      </c>
    </row>
    <row r="130" spans="3:24" x14ac:dyDescent="0.35">
      <c r="C130" s="2">
        <f t="shared" si="21"/>
        <v>129</v>
      </c>
      <c r="D130" t="s">
        <v>128</v>
      </c>
      <c r="E130">
        <f t="shared" si="22"/>
        <v>28</v>
      </c>
      <c r="F130" t="str">
        <f t="shared" si="23"/>
        <v xml:space="preserve">/PR:Games__SP:Carol2017103 $2228   </v>
      </c>
      <c r="G130">
        <f t="shared" si="24"/>
        <v>32</v>
      </c>
      <c r="H130" t="str">
        <f t="shared" si="25"/>
        <v>/PR:Games__SP:Carol2017103 $2228</v>
      </c>
      <c r="I130">
        <f t="shared" si="26"/>
        <v>56</v>
      </c>
      <c r="J130" t="str">
        <f t="shared" si="27"/>
        <v>PR:Games__SP:Carol2017103 $2228</v>
      </c>
      <c r="K130" t="str">
        <f t="shared" si="28"/>
        <v>PR:Games  SP:Carol2017103 $2228</v>
      </c>
      <c r="L130" t="str">
        <f t="shared" si="29"/>
        <v>Games  SP:Carol2017103 $2228</v>
      </c>
      <c r="M130" t="str">
        <f t="shared" si="30"/>
        <v>Games  Carol2017103 $2228</v>
      </c>
      <c r="N130" t="str">
        <f t="shared" si="31"/>
        <v>Games Carol2017103 $2228</v>
      </c>
      <c r="O130" t="str">
        <f t="shared" si="32"/>
        <v>Games Carol 2017103 $2228</v>
      </c>
      <c r="P130">
        <f t="shared" si="33"/>
        <v>6</v>
      </c>
      <c r="Q130">
        <f t="shared" si="34"/>
        <v>12</v>
      </c>
      <c r="R130">
        <f t="shared" si="35"/>
        <v>20</v>
      </c>
      <c r="S130" t="str">
        <f t="shared" si="36"/>
        <v>Games</v>
      </c>
      <c r="T130" t="str">
        <f t="shared" si="37"/>
        <v>Carol</v>
      </c>
      <c r="U130" t="str">
        <f t="shared" si="38"/>
        <v>2017103</v>
      </c>
      <c r="V130" t="str">
        <f t="shared" si="39"/>
        <v>2228</v>
      </c>
      <c r="W130" s="4">
        <f t="shared" si="40"/>
        <v>43011</v>
      </c>
      <c r="X130" s="5">
        <f t="shared" si="41"/>
        <v>2228</v>
      </c>
    </row>
    <row r="131" spans="3:24" x14ac:dyDescent="0.35">
      <c r="C131" s="2">
        <f t="shared" ref="C131:C194" si="42">C130+1</f>
        <v>130</v>
      </c>
      <c r="D131" t="s">
        <v>129</v>
      </c>
      <c r="E131">
        <f t="shared" ref="E131:E194" si="43">CODE(RIGHT(D131,1))</f>
        <v>31</v>
      </c>
      <c r="F131" t="str">
        <f t="shared" ref="F131:F194" si="44">CLEAN(D131)</f>
        <v xml:space="preserve">///PR:Games____SP:David20171012    $0  </v>
      </c>
      <c r="G131">
        <f t="shared" ref="G131:G194" si="45">CODE(RIGHT(F131,1))</f>
        <v>32</v>
      </c>
      <c r="H131" t="str">
        <f t="shared" ref="H131:H194" si="46">TRIM(F131)</f>
        <v>///PR:Games____SP:David20171012    $0</v>
      </c>
      <c r="I131">
        <f t="shared" ref="I131:I194" si="47">CODE(RIGHT(H131,1))</f>
        <v>48</v>
      </c>
      <c r="J131" t="str">
        <f t="shared" ref="J131:J194" si="48">SUBSTITUTE(H131,"/","")</f>
        <v>PR:Games____SP:David20171012    $0</v>
      </c>
      <c r="K131" t="str">
        <f t="shared" ref="K131:K194" si="49">SUBSTITUTE(J131,"_"," ")</f>
        <v>PR:Games    SP:David20171012    $0</v>
      </c>
      <c r="L131" t="str">
        <f t="shared" ref="L131:L194" si="50">SUBSTITUTE(K131,"PR:","")</f>
        <v>Games    SP:David20171012    $0</v>
      </c>
      <c r="M131" t="str">
        <f t="shared" ref="M131:M194" si="51">SUBSTITUTE(L131,"SP:","")</f>
        <v>Games    David20171012    $0</v>
      </c>
      <c r="N131" t="str">
        <f t="shared" ref="N131:N194" si="52">TRIM(SUBSTITUTE(M131,CHAR(160)," "))</f>
        <v>Games David20171012 $0</v>
      </c>
      <c r="O131" t="str">
        <f t="shared" ref="O131:O194" si="53">SUBSTITUTE(N131,"2017"," 2017")</f>
        <v>Games David 20171012 $0</v>
      </c>
      <c r="P131">
        <f t="shared" ref="P131:P194" si="54">SEARCH(" ",O131,1)</f>
        <v>6</v>
      </c>
      <c r="Q131">
        <f t="shared" ref="Q131:Q194" si="55">SEARCH(" ",O131,P131+1)</f>
        <v>12</v>
      </c>
      <c r="R131">
        <f t="shared" ref="R131:R194" si="56">SEARCH(" ",O131,Q131+1)</f>
        <v>21</v>
      </c>
      <c r="S131" t="str">
        <f t="shared" ref="S131:S194" si="57">LEFT(O131,P131-1)</f>
        <v>Games</v>
      </c>
      <c r="T131" t="str">
        <f t="shared" ref="T131:T194" si="58">MID(O131,P131+1,Q131-P131-1)</f>
        <v>David</v>
      </c>
      <c r="U131" t="str">
        <f t="shared" ref="U131:U194" si="59">MID(O131,Q131+1,R131-Q131-1)</f>
        <v>20171012</v>
      </c>
      <c r="V131" t="str">
        <f t="shared" ref="V131:V194" si="60">MID(O131,R131+2,99)</f>
        <v>0</v>
      </c>
      <c r="W131" s="4">
        <f t="shared" ref="W131:W194" si="61">DATE(2017,10,MID(U131,7,2))</f>
        <v>43020</v>
      </c>
      <c r="X131" s="5">
        <f t="shared" ref="X131:X194" si="62">VALUE(V131)</f>
        <v>0</v>
      </c>
    </row>
    <row r="132" spans="3:24" x14ac:dyDescent="0.35">
      <c r="C132" s="2">
        <f t="shared" si="42"/>
        <v>131</v>
      </c>
      <c r="D132" t="s">
        <v>130</v>
      </c>
      <c r="E132">
        <f t="shared" si="43"/>
        <v>29</v>
      </c>
      <c r="F132" t="str">
        <f t="shared" si="44"/>
        <v xml:space="preserve">///PR:Books____SP:Carol2017109  $970     </v>
      </c>
      <c r="G132">
        <f t="shared" si="45"/>
        <v>32</v>
      </c>
      <c r="H132" t="str">
        <f t="shared" si="46"/>
        <v>///PR:Books____SP:Carol2017109  $970</v>
      </c>
      <c r="I132">
        <f t="shared" si="47"/>
        <v>48</v>
      </c>
      <c r="J132" t="str">
        <f t="shared" si="48"/>
        <v>PR:Books____SP:Carol2017109  $970</v>
      </c>
      <c r="K132" t="str">
        <f t="shared" si="49"/>
        <v>PR:Books    SP:Carol2017109  $970</v>
      </c>
      <c r="L132" t="str">
        <f t="shared" si="50"/>
        <v>Books    SP:Carol2017109  $970</v>
      </c>
      <c r="M132" t="str">
        <f t="shared" si="51"/>
        <v>Books    Carol2017109  $970</v>
      </c>
      <c r="N132" t="str">
        <f t="shared" si="52"/>
        <v>Books Carol2017109 $970</v>
      </c>
      <c r="O132" t="str">
        <f t="shared" si="53"/>
        <v>Books Carol 2017109 $970</v>
      </c>
      <c r="P132">
        <f t="shared" si="54"/>
        <v>6</v>
      </c>
      <c r="Q132">
        <f t="shared" si="55"/>
        <v>12</v>
      </c>
      <c r="R132">
        <f t="shared" si="56"/>
        <v>20</v>
      </c>
      <c r="S132" t="str">
        <f t="shared" si="57"/>
        <v>Books</v>
      </c>
      <c r="T132" t="str">
        <f t="shared" si="58"/>
        <v>Carol</v>
      </c>
      <c r="U132" t="str">
        <f t="shared" si="59"/>
        <v>2017109</v>
      </c>
      <c r="V132" t="str">
        <f t="shared" si="60"/>
        <v>970</v>
      </c>
      <c r="W132" s="4">
        <f t="shared" si="61"/>
        <v>43017</v>
      </c>
      <c r="X132" s="5">
        <f t="shared" si="62"/>
        <v>970</v>
      </c>
    </row>
    <row r="133" spans="3:24" x14ac:dyDescent="0.35">
      <c r="C133" s="2">
        <f t="shared" si="42"/>
        <v>132</v>
      </c>
      <c r="D133" t="s">
        <v>131</v>
      </c>
      <c r="E133">
        <f t="shared" si="43"/>
        <v>31</v>
      </c>
      <c r="F133" t="str">
        <f t="shared" si="44"/>
        <v xml:space="preserve">//PR:Games_____SP:David2017103    $944  </v>
      </c>
      <c r="G133">
        <f t="shared" si="45"/>
        <v>32</v>
      </c>
      <c r="H133" t="str">
        <f t="shared" si="46"/>
        <v>//PR:Games_____SP:David2017103    $944</v>
      </c>
      <c r="I133">
        <f t="shared" si="47"/>
        <v>52</v>
      </c>
      <c r="J133" t="str">
        <f t="shared" si="48"/>
        <v>PR:Games_____SP:David2017103    $944</v>
      </c>
      <c r="K133" t="str">
        <f t="shared" si="49"/>
        <v>PR:Games     SP:David2017103    $944</v>
      </c>
      <c r="L133" t="str">
        <f t="shared" si="50"/>
        <v>Games     SP:David2017103    $944</v>
      </c>
      <c r="M133" t="str">
        <f t="shared" si="51"/>
        <v>Games     David2017103    $944</v>
      </c>
      <c r="N133" t="str">
        <f t="shared" si="52"/>
        <v>Games David2017103 $944</v>
      </c>
      <c r="O133" t="str">
        <f t="shared" si="53"/>
        <v>Games David 2017103 $944</v>
      </c>
      <c r="P133">
        <f t="shared" si="54"/>
        <v>6</v>
      </c>
      <c r="Q133">
        <f t="shared" si="55"/>
        <v>12</v>
      </c>
      <c r="R133">
        <f t="shared" si="56"/>
        <v>20</v>
      </c>
      <c r="S133" t="str">
        <f t="shared" si="57"/>
        <v>Games</v>
      </c>
      <c r="T133" t="str">
        <f t="shared" si="58"/>
        <v>David</v>
      </c>
      <c r="U133" t="str">
        <f t="shared" si="59"/>
        <v>2017103</v>
      </c>
      <c r="V133" t="str">
        <f t="shared" si="60"/>
        <v>944</v>
      </c>
      <c r="W133" s="4">
        <f t="shared" si="61"/>
        <v>43011</v>
      </c>
      <c r="X133" s="5">
        <f t="shared" si="62"/>
        <v>944</v>
      </c>
    </row>
    <row r="134" spans="3:24" x14ac:dyDescent="0.35">
      <c r="C134" s="2">
        <f t="shared" si="42"/>
        <v>133</v>
      </c>
      <c r="D134" t="s">
        <v>132</v>
      </c>
      <c r="E134">
        <f t="shared" si="43"/>
        <v>29</v>
      </c>
      <c r="F134" t="str">
        <f t="shared" si="44"/>
        <v xml:space="preserve">/PR:Music___SP:Barney20171026   $1404    </v>
      </c>
      <c r="G134">
        <f t="shared" si="45"/>
        <v>32</v>
      </c>
      <c r="H134" t="str">
        <f t="shared" si="46"/>
        <v>/PR:Music___SP:Barney20171026   $1404</v>
      </c>
      <c r="I134">
        <f t="shared" si="47"/>
        <v>52</v>
      </c>
      <c r="J134" t="str">
        <f t="shared" si="48"/>
        <v>PR:Music___SP:Barney20171026   $1404</v>
      </c>
      <c r="K134" t="str">
        <f t="shared" si="49"/>
        <v>PR:Music   SP:Barney20171026   $1404</v>
      </c>
      <c r="L134" t="str">
        <f t="shared" si="50"/>
        <v>Music   SP:Barney20171026   $1404</v>
      </c>
      <c r="M134" t="str">
        <f t="shared" si="51"/>
        <v>Music   Barney20171026   $1404</v>
      </c>
      <c r="N134" t="str">
        <f t="shared" si="52"/>
        <v>Music Barney20171026 $1404</v>
      </c>
      <c r="O134" t="str">
        <f t="shared" si="53"/>
        <v>Music Barney 20171026 $1404</v>
      </c>
      <c r="P134">
        <f t="shared" si="54"/>
        <v>6</v>
      </c>
      <c r="Q134">
        <f t="shared" si="55"/>
        <v>13</v>
      </c>
      <c r="R134">
        <f t="shared" si="56"/>
        <v>22</v>
      </c>
      <c r="S134" t="str">
        <f t="shared" si="57"/>
        <v>Music</v>
      </c>
      <c r="T134" t="str">
        <f t="shared" si="58"/>
        <v>Barney</v>
      </c>
      <c r="U134" t="str">
        <f t="shared" si="59"/>
        <v>20171026</v>
      </c>
      <c r="V134" t="str">
        <f t="shared" si="60"/>
        <v>1404</v>
      </c>
      <c r="W134" s="4">
        <f t="shared" si="61"/>
        <v>43034</v>
      </c>
      <c r="X134" s="5">
        <f t="shared" si="62"/>
        <v>1404</v>
      </c>
    </row>
    <row r="135" spans="3:24" x14ac:dyDescent="0.35">
      <c r="C135" s="2">
        <f t="shared" si="42"/>
        <v>134</v>
      </c>
      <c r="D135" t="s">
        <v>133</v>
      </c>
      <c r="E135">
        <f t="shared" si="43"/>
        <v>28</v>
      </c>
      <c r="F135" t="str">
        <f t="shared" si="44"/>
        <v xml:space="preserve">/////PR:Clothing_____SP:Alice20171030    $1305     </v>
      </c>
      <c r="G135">
        <f t="shared" si="45"/>
        <v>32</v>
      </c>
      <c r="H135" t="str">
        <f t="shared" si="46"/>
        <v>/////PR:Clothing_____SP:Alice20171030    $1305</v>
      </c>
      <c r="I135">
        <f t="shared" si="47"/>
        <v>53</v>
      </c>
      <c r="J135" t="str">
        <f t="shared" si="48"/>
        <v>PR:Clothing_____SP:Alice20171030    $1305</v>
      </c>
      <c r="K135" t="str">
        <f t="shared" si="49"/>
        <v>PR:Clothing     SP:Alice20171030    $1305</v>
      </c>
      <c r="L135" t="str">
        <f t="shared" si="50"/>
        <v>Clothing     SP:Alice20171030    $1305</v>
      </c>
      <c r="M135" t="str">
        <f t="shared" si="51"/>
        <v>Clothing     Alice20171030    $1305</v>
      </c>
      <c r="N135" t="str">
        <f t="shared" si="52"/>
        <v>Clothing Alice20171030 $1305</v>
      </c>
      <c r="O135" t="str">
        <f t="shared" si="53"/>
        <v>Clothing Alice 20171030 $1305</v>
      </c>
      <c r="P135">
        <f t="shared" si="54"/>
        <v>9</v>
      </c>
      <c r="Q135">
        <f t="shared" si="55"/>
        <v>15</v>
      </c>
      <c r="R135">
        <f t="shared" si="56"/>
        <v>24</v>
      </c>
      <c r="S135" t="str">
        <f t="shared" si="57"/>
        <v>Clothing</v>
      </c>
      <c r="T135" t="str">
        <f t="shared" si="58"/>
        <v>Alice</v>
      </c>
      <c r="U135" t="str">
        <f t="shared" si="59"/>
        <v>20171030</v>
      </c>
      <c r="V135" t="str">
        <f t="shared" si="60"/>
        <v>1305</v>
      </c>
      <c r="W135" s="4">
        <f t="shared" si="61"/>
        <v>43038</v>
      </c>
      <c r="X135" s="5">
        <f t="shared" si="62"/>
        <v>1305</v>
      </c>
    </row>
    <row r="136" spans="3:24" x14ac:dyDescent="0.35">
      <c r="C136" s="2">
        <f t="shared" si="42"/>
        <v>135</v>
      </c>
      <c r="D136" t="s">
        <v>134</v>
      </c>
      <c r="E136">
        <f t="shared" si="43"/>
        <v>29</v>
      </c>
      <c r="F136" t="str">
        <f t="shared" si="44"/>
        <v xml:space="preserve">///PR:Games_____SP:David20171020  $869   </v>
      </c>
      <c r="G136">
        <f t="shared" si="45"/>
        <v>32</v>
      </c>
      <c r="H136" t="str">
        <f t="shared" si="46"/>
        <v>///PR:Games_____SP:David20171020  $869</v>
      </c>
      <c r="I136">
        <f t="shared" si="47"/>
        <v>57</v>
      </c>
      <c r="J136" t="str">
        <f t="shared" si="48"/>
        <v>PR:Games_____SP:David20171020  $869</v>
      </c>
      <c r="K136" t="str">
        <f t="shared" si="49"/>
        <v>PR:Games     SP:David20171020  $869</v>
      </c>
      <c r="L136" t="str">
        <f t="shared" si="50"/>
        <v>Games     SP:David20171020  $869</v>
      </c>
      <c r="M136" t="str">
        <f t="shared" si="51"/>
        <v>Games     David20171020  $869</v>
      </c>
      <c r="N136" t="str">
        <f t="shared" si="52"/>
        <v>Games David20171020 $869</v>
      </c>
      <c r="O136" t="str">
        <f t="shared" si="53"/>
        <v>Games David 20171020 $869</v>
      </c>
      <c r="P136">
        <f t="shared" si="54"/>
        <v>6</v>
      </c>
      <c r="Q136">
        <f t="shared" si="55"/>
        <v>12</v>
      </c>
      <c r="R136">
        <f t="shared" si="56"/>
        <v>21</v>
      </c>
      <c r="S136" t="str">
        <f t="shared" si="57"/>
        <v>Games</v>
      </c>
      <c r="T136" t="str">
        <f t="shared" si="58"/>
        <v>David</v>
      </c>
      <c r="U136" t="str">
        <f t="shared" si="59"/>
        <v>20171020</v>
      </c>
      <c r="V136" t="str">
        <f t="shared" si="60"/>
        <v>869</v>
      </c>
      <c r="W136" s="4">
        <f t="shared" si="61"/>
        <v>43028</v>
      </c>
      <c r="X136" s="5">
        <f t="shared" si="62"/>
        <v>869</v>
      </c>
    </row>
    <row r="137" spans="3:24" x14ac:dyDescent="0.35">
      <c r="C137" s="2">
        <f t="shared" si="42"/>
        <v>136</v>
      </c>
      <c r="D137" t="s">
        <v>135</v>
      </c>
      <c r="E137">
        <f t="shared" si="43"/>
        <v>29</v>
      </c>
      <c r="F137" t="str">
        <f t="shared" si="44"/>
        <v xml:space="preserve">/////PR:Clothing__SP:Carol2017102     $0   </v>
      </c>
      <c r="G137">
        <f t="shared" si="45"/>
        <v>32</v>
      </c>
      <c r="H137" t="str">
        <f t="shared" si="46"/>
        <v>/////PR:Clothing__SP:Carol2017102     $0</v>
      </c>
      <c r="I137">
        <f t="shared" si="47"/>
        <v>48</v>
      </c>
      <c r="J137" t="str">
        <f t="shared" si="48"/>
        <v>PR:Clothing__SP:Carol2017102     $0</v>
      </c>
      <c r="K137" t="str">
        <f t="shared" si="49"/>
        <v>PR:Clothing  SP:Carol2017102     $0</v>
      </c>
      <c r="L137" t="str">
        <f t="shared" si="50"/>
        <v>Clothing  SP:Carol2017102     $0</v>
      </c>
      <c r="M137" t="str">
        <f t="shared" si="51"/>
        <v>Clothing  Carol2017102     $0</v>
      </c>
      <c r="N137" t="str">
        <f t="shared" si="52"/>
        <v>Clothing Carol2017102 $0</v>
      </c>
      <c r="O137" t="str">
        <f t="shared" si="53"/>
        <v>Clothing Carol 2017102 $0</v>
      </c>
      <c r="P137">
        <f t="shared" si="54"/>
        <v>9</v>
      </c>
      <c r="Q137">
        <f t="shared" si="55"/>
        <v>15</v>
      </c>
      <c r="R137">
        <f t="shared" si="56"/>
        <v>23</v>
      </c>
      <c r="S137" t="str">
        <f t="shared" si="57"/>
        <v>Clothing</v>
      </c>
      <c r="T137" t="str">
        <f t="shared" si="58"/>
        <v>Carol</v>
      </c>
      <c r="U137" t="str">
        <f t="shared" si="59"/>
        <v>2017102</v>
      </c>
      <c r="V137" t="str">
        <f t="shared" si="60"/>
        <v>0</v>
      </c>
      <c r="W137" s="4">
        <f t="shared" si="61"/>
        <v>43010</v>
      </c>
      <c r="X137" s="5">
        <f t="shared" si="62"/>
        <v>0</v>
      </c>
    </row>
    <row r="138" spans="3:24" x14ac:dyDescent="0.35">
      <c r="C138" s="2">
        <f t="shared" si="42"/>
        <v>137</v>
      </c>
      <c r="D138" t="s">
        <v>136</v>
      </c>
      <c r="E138">
        <f t="shared" si="43"/>
        <v>30</v>
      </c>
      <c r="F138" t="str">
        <f t="shared" si="44"/>
        <v xml:space="preserve">///PR:Games_SP:Barney20171025 $0   </v>
      </c>
      <c r="G138">
        <f t="shared" si="45"/>
        <v>32</v>
      </c>
      <c r="H138" t="str">
        <f t="shared" si="46"/>
        <v>///PR:Games_SP:Barney20171025 $0</v>
      </c>
      <c r="I138">
        <f t="shared" si="47"/>
        <v>48</v>
      </c>
      <c r="J138" t="str">
        <f t="shared" si="48"/>
        <v>PR:Games_SP:Barney20171025 $0</v>
      </c>
      <c r="K138" t="str">
        <f t="shared" si="49"/>
        <v>PR:Games SP:Barney20171025 $0</v>
      </c>
      <c r="L138" t="str">
        <f t="shared" si="50"/>
        <v>Games SP:Barney20171025 $0</v>
      </c>
      <c r="M138" t="str">
        <f t="shared" si="51"/>
        <v>Games Barney20171025 $0</v>
      </c>
      <c r="N138" t="str">
        <f t="shared" si="52"/>
        <v>Games Barney20171025 $0</v>
      </c>
      <c r="O138" t="str">
        <f t="shared" si="53"/>
        <v>Games Barney 20171025 $0</v>
      </c>
      <c r="P138">
        <f t="shared" si="54"/>
        <v>6</v>
      </c>
      <c r="Q138">
        <f t="shared" si="55"/>
        <v>13</v>
      </c>
      <c r="R138">
        <f t="shared" si="56"/>
        <v>22</v>
      </c>
      <c r="S138" t="str">
        <f t="shared" si="57"/>
        <v>Games</v>
      </c>
      <c r="T138" t="str">
        <f t="shared" si="58"/>
        <v>Barney</v>
      </c>
      <c r="U138" t="str">
        <f t="shared" si="59"/>
        <v>20171025</v>
      </c>
      <c r="V138" t="str">
        <f t="shared" si="60"/>
        <v>0</v>
      </c>
      <c r="W138" s="4">
        <f t="shared" si="61"/>
        <v>43033</v>
      </c>
      <c r="X138" s="5">
        <f t="shared" si="62"/>
        <v>0</v>
      </c>
    </row>
    <row r="139" spans="3:24" x14ac:dyDescent="0.35">
      <c r="C139" s="2">
        <f t="shared" si="42"/>
        <v>138</v>
      </c>
      <c r="D139" t="s">
        <v>137</v>
      </c>
      <c r="E139">
        <f t="shared" si="43"/>
        <v>28</v>
      </c>
      <c r="F139" t="str">
        <f t="shared" si="44"/>
        <v xml:space="preserve">////PR:Books___SP:Carol20171014   $0  </v>
      </c>
      <c r="G139">
        <f t="shared" si="45"/>
        <v>32</v>
      </c>
      <c r="H139" t="str">
        <f t="shared" si="46"/>
        <v>////PR:Books___SP:Carol20171014   $0</v>
      </c>
      <c r="I139">
        <f t="shared" si="47"/>
        <v>48</v>
      </c>
      <c r="J139" t="str">
        <f t="shared" si="48"/>
        <v>PR:Books___SP:Carol20171014   $0</v>
      </c>
      <c r="K139" t="str">
        <f t="shared" si="49"/>
        <v>PR:Books   SP:Carol20171014   $0</v>
      </c>
      <c r="L139" t="str">
        <f t="shared" si="50"/>
        <v>Books   SP:Carol20171014   $0</v>
      </c>
      <c r="M139" t="str">
        <f t="shared" si="51"/>
        <v>Books   Carol20171014   $0</v>
      </c>
      <c r="N139" t="str">
        <f t="shared" si="52"/>
        <v>Books Carol20171014 $0</v>
      </c>
      <c r="O139" t="str">
        <f t="shared" si="53"/>
        <v>Books Carol 20171014 $0</v>
      </c>
      <c r="P139">
        <f t="shared" si="54"/>
        <v>6</v>
      </c>
      <c r="Q139">
        <f t="shared" si="55"/>
        <v>12</v>
      </c>
      <c r="R139">
        <f t="shared" si="56"/>
        <v>21</v>
      </c>
      <c r="S139" t="str">
        <f t="shared" si="57"/>
        <v>Books</v>
      </c>
      <c r="T139" t="str">
        <f t="shared" si="58"/>
        <v>Carol</v>
      </c>
      <c r="U139" t="str">
        <f t="shared" si="59"/>
        <v>20171014</v>
      </c>
      <c r="V139" t="str">
        <f t="shared" si="60"/>
        <v>0</v>
      </c>
      <c r="W139" s="4">
        <f t="shared" si="61"/>
        <v>43022</v>
      </c>
      <c r="X139" s="5">
        <f t="shared" si="62"/>
        <v>0</v>
      </c>
    </row>
    <row r="140" spans="3:24" x14ac:dyDescent="0.35">
      <c r="C140" s="2">
        <f t="shared" si="42"/>
        <v>139</v>
      </c>
      <c r="D140" t="s">
        <v>138</v>
      </c>
      <c r="E140">
        <f t="shared" si="43"/>
        <v>29</v>
      </c>
      <c r="F140" t="str">
        <f t="shared" si="44"/>
        <v xml:space="preserve">////PR:Music___SP:Alice2017104    $1461     </v>
      </c>
      <c r="G140">
        <f t="shared" si="45"/>
        <v>32</v>
      </c>
      <c r="H140" t="str">
        <f t="shared" si="46"/>
        <v>////PR:Music___SP:Alice2017104    $1461</v>
      </c>
      <c r="I140">
        <f t="shared" si="47"/>
        <v>49</v>
      </c>
      <c r="J140" t="str">
        <f t="shared" si="48"/>
        <v>PR:Music___SP:Alice2017104    $1461</v>
      </c>
      <c r="K140" t="str">
        <f t="shared" si="49"/>
        <v>PR:Music   SP:Alice2017104    $1461</v>
      </c>
      <c r="L140" t="str">
        <f t="shared" si="50"/>
        <v>Music   SP:Alice2017104    $1461</v>
      </c>
      <c r="M140" t="str">
        <f t="shared" si="51"/>
        <v>Music   Alice2017104    $1461</v>
      </c>
      <c r="N140" t="str">
        <f t="shared" si="52"/>
        <v>Music Alice2017104 $1461</v>
      </c>
      <c r="O140" t="str">
        <f t="shared" si="53"/>
        <v>Music Alice 2017104 $1461</v>
      </c>
      <c r="P140">
        <f t="shared" si="54"/>
        <v>6</v>
      </c>
      <c r="Q140">
        <f t="shared" si="55"/>
        <v>12</v>
      </c>
      <c r="R140">
        <f t="shared" si="56"/>
        <v>20</v>
      </c>
      <c r="S140" t="str">
        <f t="shared" si="57"/>
        <v>Music</v>
      </c>
      <c r="T140" t="str">
        <f t="shared" si="58"/>
        <v>Alice</v>
      </c>
      <c r="U140" t="str">
        <f t="shared" si="59"/>
        <v>2017104</v>
      </c>
      <c r="V140" t="str">
        <f t="shared" si="60"/>
        <v>1461</v>
      </c>
      <c r="W140" s="4">
        <f t="shared" si="61"/>
        <v>43012</v>
      </c>
      <c r="X140" s="5">
        <f t="shared" si="62"/>
        <v>1461</v>
      </c>
    </row>
    <row r="141" spans="3:24" x14ac:dyDescent="0.35">
      <c r="C141" s="2">
        <f t="shared" si="42"/>
        <v>140</v>
      </c>
      <c r="D141" t="s">
        <v>139</v>
      </c>
      <c r="E141">
        <f t="shared" si="43"/>
        <v>30</v>
      </c>
      <c r="F141" t="str">
        <f t="shared" si="44"/>
        <v xml:space="preserve">//PR:Books____SP:Barney20171011    $999     </v>
      </c>
      <c r="G141">
        <f t="shared" si="45"/>
        <v>32</v>
      </c>
      <c r="H141" t="str">
        <f t="shared" si="46"/>
        <v>//PR:Books____SP:Barney20171011    $999</v>
      </c>
      <c r="I141">
        <f t="shared" si="47"/>
        <v>57</v>
      </c>
      <c r="J141" t="str">
        <f t="shared" si="48"/>
        <v>PR:Books____SP:Barney20171011    $999</v>
      </c>
      <c r="K141" t="str">
        <f t="shared" si="49"/>
        <v>PR:Books    SP:Barney20171011    $999</v>
      </c>
      <c r="L141" t="str">
        <f t="shared" si="50"/>
        <v>Books    SP:Barney20171011    $999</v>
      </c>
      <c r="M141" t="str">
        <f t="shared" si="51"/>
        <v>Books    Barney20171011    $999</v>
      </c>
      <c r="N141" t="str">
        <f t="shared" si="52"/>
        <v>Books Barney20171011 $999</v>
      </c>
      <c r="O141" t="str">
        <f t="shared" si="53"/>
        <v>Books Barney 20171011 $999</v>
      </c>
      <c r="P141">
        <f t="shared" si="54"/>
        <v>6</v>
      </c>
      <c r="Q141">
        <f t="shared" si="55"/>
        <v>13</v>
      </c>
      <c r="R141">
        <f t="shared" si="56"/>
        <v>22</v>
      </c>
      <c r="S141" t="str">
        <f t="shared" si="57"/>
        <v>Books</v>
      </c>
      <c r="T141" t="str">
        <f t="shared" si="58"/>
        <v>Barney</v>
      </c>
      <c r="U141" t="str">
        <f t="shared" si="59"/>
        <v>20171011</v>
      </c>
      <c r="V141" t="str">
        <f t="shared" si="60"/>
        <v>999</v>
      </c>
      <c r="W141" s="4">
        <f t="shared" si="61"/>
        <v>43019</v>
      </c>
      <c r="X141" s="5">
        <f t="shared" si="62"/>
        <v>999</v>
      </c>
    </row>
    <row r="142" spans="3:24" x14ac:dyDescent="0.35">
      <c r="C142" s="2">
        <f t="shared" si="42"/>
        <v>141</v>
      </c>
      <c r="D142" t="s">
        <v>140</v>
      </c>
      <c r="E142">
        <f t="shared" si="43"/>
        <v>30</v>
      </c>
      <c r="F142" t="str">
        <f t="shared" si="44"/>
        <v xml:space="preserve">/////PR:Books__SP:Barney20171022     $510    </v>
      </c>
      <c r="G142">
        <f t="shared" si="45"/>
        <v>32</v>
      </c>
      <c r="H142" t="str">
        <f t="shared" si="46"/>
        <v>/////PR:Books__SP:Barney20171022     $510</v>
      </c>
      <c r="I142">
        <f t="shared" si="47"/>
        <v>48</v>
      </c>
      <c r="J142" t="str">
        <f t="shared" si="48"/>
        <v>PR:Books__SP:Barney20171022     $510</v>
      </c>
      <c r="K142" t="str">
        <f t="shared" si="49"/>
        <v>PR:Books  SP:Barney20171022     $510</v>
      </c>
      <c r="L142" t="str">
        <f t="shared" si="50"/>
        <v>Books  SP:Barney20171022     $510</v>
      </c>
      <c r="M142" t="str">
        <f t="shared" si="51"/>
        <v>Books  Barney20171022     $510</v>
      </c>
      <c r="N142" t="str">
        <f t="shared" si="52"/>
        <v>Books Barney20171022 $510</v>
      </c>
      <c r="O142" t="str">
        <f t="shared" si="53"/>
        <v>Books Barney 20171022 $510</v>
      </c>
      <c r="P142">
        <f t="shared" si="54"/>
        <v>6</v>
      </c>
      <c r="Q142">
        <f t="shared" si="55"/>
        <v>13</v>
      </c>
      <c r="R142">
        <f t="shared" si="56"/>
        <v>22</v>
      </c>
      <c r="S142" t="str">
        <f t="shared" si="57"/>
        <v>Books</v>
      </c>
      <c r="T142" t="str">
        <f t="shared" si="58"/>
        <v>Barney</v>
      </c>
      <c r="U142" t="str">
        <f t="shared" si="59"/>
        <v>20171022</v>
      </c>
      <c r="V142" t="str">
        <f t="shared" si="60"/>
        <v>510</v>
      </c>
      <c r="W142" s="4">
        <f t="shared" si="61"/>
        <v>43030</v>
      </c>
      <c r="X142" s="5">
        <f t="shared" si="62"/>
        <v>510</v>
      </c>
    </row>
    <row r="143" spans="3:24" x14ac:dyDescent="0.35">
      <c r="C143" s="2">
        <f t="shared" si="42"/>
        <v>142</v>
      </c>
      <c r="D143" t="s">
        <v>141</v>
      </c>
      <c r="E143">
        <f t="shared" si="43"/>
        <v>30</v>
      </c>
      <c r="F143" t="str">
        <f t="shared" si="44"/>
        <v xml:space="preserve">////PR:Music____SP:Alice20171013 $1103    </v>
      </c>
      <c r="G143">
        <f t="shared" si="45"/>
        <v>32</v>
      </c>
      <c r="H143" t="str">
        <f t="shared" si="46"/>
        <v>////PR:Music____SP:Alice20171013 $1103</v>
      </c>
      <c r="I143">
        <f t="shared" si="47"/>
        <v>51</v>
      </c>
      <c r="J143" t="str">
        <f t="shared" si="48"/>
        <v>PR:Music____SP:Alice20171013 $1103</v>
      </c>
      <c r="K143" t="str">
        <f t="shared" si="49"/>
        <v>PR:Music    SP:Alice20171013 $1103</v>
      </c>
      <c r="L143" t="str">
        <f t="shared" si="50"/>
        <v>Music    SP:Alice20171013 $1103</v>
      </c>
      <c r="M143" t="str">
        <f t="shared" si="51"/>
        <v>Music    Alice20171013 $1103</v>
      </c>
      <c r="N143" t="str">
        <f t="shared" si="52"/>
        <v>Music Alice20171013 $1103</v>
      </c>
      <c r="O143" t="str">
        <f t="shared" si="53"/>
        <v>Music Alice 20171013 $1103</v>
      </c>
      <c r="P143">
        <f t="shared" si="54"/>
        <v>6</v>
      </c>
      <c r="Q143">
        <f t="shared" si="55"/>
        <v>12</v>
      </c>
      <c r="R143">
        <f t="shared" si="56"/>
        <v>21</v>
      </c>
      <c r="S143" t="str">
        <f t="shared" si="57"/>
        <v>Music</v>
      </c>
      <c r="T143" t="str">
        <f t="shared" si="58"/>
        <v>Alice</v>
      </c>
      <c r="U143" t="str">
        <f t="shared" si="59"/>
        <v>20171013</v>
      </c>
      <c r="V143" t="str">
        <f t="shared" si="60"/>
        <v>1103</v>
      </c>
      <c r="W143" s="4">
        <f t="shared" si="61"/>
        <v>43021</v>
      </c>
      <c r="X143" s="5">
        <f t="shared" si="62"/>
        <v>1103</v>
      </c>
    </row>
    <row r="144" spans="3:24" x14ac:dyDescent="0.35">
      <c r="C144" s="2">
        <f t="shared" si="42"/>
        <v>143</v>
      </c>
      <c r="D144" t="s">
        <v>142</v>
      </c>
      <c r="E144">
        <f t="shared" si="43"/>
        <v>29</v>
      </c>
      <c r="F144" t="str">
        <f t="shared" si="44"/>
        <v xml:space="preserve">////PR:Music____SP:Carol20171016     $1412   </v>
      </c>
      <c r="G144">
        <f t="shared" si="45"/>
        <v>32</v>
      </c>
      <c r="H144" t="str">
        <f t="shared" si="46"/>
        <v>////PR:Music____SP:Carol20171016     $1412</v>
      </c>
      <c r="I144">
        <f t="shared" si="47"/>
        <v>50</v>
      </c>
      <c r="J144" t="str">
        <f t="shared" si="48"/>
        <v>PR:Music____SP:Carol20171016     $1412</v>
      </c>
      <c r="K144" t="str">
        <f t="shared" si="49"/>
        <v>PR:Music    SP:Carol20171016     $1412</v>
      </c>
      <c r="L144" t="str">
        <f t="shared" si="50"/>
        <v>Music    SP:Carol20171016     $1412</v>
      </c>
      <c r="M144" t="str">
        <f t="shared" si="51"/>
        <v>Music    Carol20171016     $1412</v>
      </c>
      <c r="N144" t="str">
        <f t="shared" si="52"/>
        <v>Music Carol20171016 $1412</v>
      </c>
      <c r="O144" t="str">
        <f t="shared" si="53"/>
        <v>Music Carol 20171016 $1412</v>
      </c>
      <c r="P144">
        <f t="shared" si="54"/>
        <v>6</v>
      </c>
      <c r="Q144">
        <f t="shared" si="55"/>
        <v>12</v>
      </c>
      <c r="R144">
        <f t="shared" si="56"/>
        <v>21</v>
      </c>
      <c r="S144" t="str">
        <f t="shared" si="57"/>
        <v>Music</v>
      </c>
      <c r="T144" t="str">
        <f t="shared" si="58"/>
        <v>Carol</v>
      </c>
      <c r="U144" t="str">
        <f t="shared" si="59"/>
        <v>20171016</v>
      </c>
      <c r="V144" t="str">
        <f t="shared" si="60"/>
        <v>1412</v>
      </c>
      <c r="W144" s="4">
        <f t="shared" si="61"/>
        <v>43024</v>
      </c>
      <c r="X144" s="5">
        <f t="shared" si="62"/>
        <v>1412</v>
      </c>
    </row>
    <row r="145" spans="3:24" x14ac:dyDescent="0.35">
      <c r="C145" s="2">
        <f t="shared" si="42"/>
        <v>144</v>
      </c>
      <c r="D145" t="s">
        <v>143</v>
      </c>
      <c r="E145">
        <f t="shared" si="43"/>
        <v>31</v>
      </c>
      <c r="F145" t="str">
        <f t="shared" si="44"/>
        <v xml:space="preserve">////PR:Books_SP:Barney20171016     $0 </v>
      </c>
      <c r="G145">
        <f t="shared" si="45"/>
        <v>32</v>
      </c>
      <c r="H145" t="str">
        <f t="shared" si="46"/>
        <v>////PR:Books_SP:Barney20171016     $0</v>
      </c>
      <c r="I145">
        <f t="shared" si="47"/>
        <v>48</v>
      </c>
      <c r="J145" t="str">
        <f t="shared" si="48"/>
        <v>PR:Books_SP:Barney20171016     $0</v>
      </c>
      <c r="K145" t="str">
        <f t="shared" si="49"/>
        <v>PR:Books SP:Barney20171016     $0</v>
      </c>
      <c r="L145" t="str">
        <f t="shared" si="50"/>
        <v>Books SP:Barney20171016     $0</v>
      </c>
      <c r="M145" t="str">
        <f t="shared" si="51"/>
        <v>Books Barney20171016     $0</v>
      </c>
      <c r="N145" t="str">
        <f t="shared" si="52"/>
        <v>Books Barney20171016 $0</v>
      </c>
      <c r="O145" t="str">
        <f t="shared" si="53"/>
        <v>Books Barney 20171016 $0</v>
      </c>
      <c r="P145">
        <f t="shared" si="54"/>
        <v>6</v>
      </c>
      <c r="Q145">
        <f t="shared" si="55"/>
        <v>13</v>
      </c>
      <c r="R145">
        <f t="shared" si="56"/>
        <v>22</v>
      </c>
      <c r="S145" t="str">
        <f t="shared" si="57"/>
        <v>Books</v>
      </c>
      <c r="T145" t="str">
        <f t="shared" si="58"/>
        <v>Barney</v>
      </c>
      <c r="U145" t="str">
        <f t="shared" si="59"/>
        <v>20171016</v>
      </c>
      <c r="V145" t="str">
        <f t="shared" si="60"/>
        <v>0</v>
      </c>
      <c r="W145" s="4">
        <f t="shared" si="61"/>
        <v>43024</v>
      </c>
      <c r="X145" s="5">
        <f t="shared" si="62"/>
        <v>0</v>
      </c>
    </row>
    <row r="146" spans="3:24" x14ac:dyDescent="0.35">
      <c r="C146" s="2">
        <f t="shared" si="42"/>
        <v>145</v>
      </c>
      <c r="D146" t="s">
        <v>144</v>
      </c>
      <c r="E146">
        <f t="shared" si="43"/>
        <v>29</v>
      </c>
      <c r="F146" t="str">
        <f t="shared" si="44"/>
        <v xml:space="preserve">//PR:Books__SP:Alice2017108   $763 </v>
      </c>
      <c r="G146">
        <f t="shared" si="45"/>
        <v>32</v>
      </c>
      <c r="H146" t="str">
        <f t="shared" si="46"/>
        <v>//PR:Books__SP:Alice2017108   $763</v>
      </c>
      <c r="I146">
        <f t="shared" si="47"/>
        <v>51</v>
      </c>
      <c r="J146" t="str">
        <f t="shared" si="48"/>
        <v>PR:Books__SP:Alice2017108   $763</v>
      </c>
      <c r="K146" t="str">
        <f t="shared" si="49"/>
        <v>PR:Books  SP:Alice2017108   $763</v>
      </c>
      <c r="L146" t="str">
        <f t="shared" si="50"/>
        <v>Books  SP:Alice2017108   $763</v>
      </c>
      <c r="M146" t="str">
        <f t="shared" si="51"/>
        <v>Books  Alice2017108   $763</v>
      </c>
      <c r="N146" t="str">
        <f t="shared" si="52"/>
        <v>Books Alice2017108 $763</v>
      </c>
      <c r="O146" t="str">
        <f t="shared" si="53"/>
        <v>Books Alice 2017108 $763</v>
      </c>
      <c r="P146">
        <f t="shared" si="54"/>
        <v>6</v>
      </c>
      <c r="Q146">
        <f t="shared" si="55"/>
        <v>12</v>
      </c>
      <c r="R146">
        <f t="shared" si="56"/>
        <v>20</v>
      </c>
      <c r="S146" t="str">
        <f t="shared" si="57"/>
        <v>Books</v>
      </c>
      <c r="T146" t="str">
        <f t="shared" si="58"/>
        <v>Alice</v>
      </c>
      <c r="U146" t="str">
        <f t="shared" si="59"/>
        <v>2017108</v>
      </c>
      <c r="V146" t="str">
        <f t="shared" si="60"/>
        <v>763</v>
      </c>
      <c r="W146" s="4">
        <f t="shared" si="61"/>
        <v>43016</v>
      </c>
      <c r="X146" s="5">
        <f t="shared" si="62"/>
        <v>763</v>
      </c>
    </row>
    <row r="147" spans="3:24" x14ac:dyDescent="0.35">
      <c r="C147" s="2">
        <f t="shared" si="42"/>
        <v>146</v>
      </c>
      <c r="D147" t="s">
        <v>145</v>
      </c>
      <c r="E147">
        <f t="shared" si="43"/>
        <v>31</v>
      </c>
      <c r="F147" t="str">
        <f t="shared" si="44"/>
        <v xml:space="preserve">///PR:Clothing___SP:Barney20171011     $1419  </v>
      </c>
      <c r="G147">
        <f t="shared" si="45"/>
        <v>32</v>
      </c>
      <c r="H147" t="str">
        <f t="shared" si="46"/>
        <v>///PR:Clothing___SP:Barney20171011     $1419</v>
      </c>
      <c r="I147">
        <f t="shared" si="47"/>
        <v>57</v>
      </c>
      <c r="J147" t="str">
        <f t="shared" si="48"/>
        <v>PR:Clothing___SP:Barney20171011     $1419</v>
      </c>
      <c r="K147" t="str">
        <f t="shared" si="49"/>
        <v>PR:Clothing   SP:Barney20171011     $1419</v>
      </c>
      <c r="L147" t="str">
        <f t="shared" si="50"/>
        <v>Clothing   SP:Barney20171011     $1419</v>
      </c>
      <c r="M147" t="str">
        <f t="shared" si="51"/>
        <v>Clothing   Barney20171011     $1419</v>
      </c>
      <c r="N147" t="str">
        <f t="shared" si="52"/>
        <v>Clothing Barney20171011 $1419</v>
      </c>
      <c r="O147" t="str">
        <f t="shared" si="53"/>
        <v>Clothing Barney 20171011 $1419</v>
      </c>
      <c r="P147">
        <f t="shared" si="54"/>
        <v>9</v>
      </c>
      <c r="Q147">
        <f t="shared" si="55"/>
        <v>16</v>
      </c>
      <c r="R147">
        <f t="shared" si="56"/>
        <v>25</v>
      </c>
      <c r="S147" t="str">
        <f t="shared" si="57"/>
        <v>Clothing</v>
      </c>
      <c r="T147" t="str">
        <f t="shared" si="58"/>
        <v>Barney</v>
      </c>
      <c r="U147" t="str">
        <f t="shared" si="59"/>
        <v>20171011</v>
      </c>
      <c r="V147" t="str">
        <f t="shared" si="60"/>
        <v>1419</v>
      </c>
      <c r="W147" s="4">
        <f t="shared" si="61"/>
        <v>43019</v>
      </c>
      <c r="X147" s="5">
        <f t="shared" si="62"/>
        <v>1419</v>
      </c>
    </row>
    <row r="148" spans="3:24" x14ac:dyDescent="0.35">
      <c r="C148" s="2">
        <f t="shared" si="42"/>
        <v>147</v>
      </c>
      <c r="D148" t="s">
        <v>146</v>
      </c>
      <c r="E148">
        <f t="shared" si="43"/>
        <v>30</v>
      </c>
      <c r="F148" t="str">
        <f t="shared" si="44"/>
        <v xml:space="preserve">/PR:Books_SP:Alice20171031 $906     </v>
      </c>
      <c r="G148">
        <f t="shared" si="45"/>
        <v>32</v>
      </c>
      <c r="H148" t="str">
        <f t="shared" si="46"/>
        <v>/PR:Books_SP:Alice20171031 $906</v>
      </c>
      <c r="I148">
        <f t="shared" si="47"/>
        <v>54</v>
      </c>
      <c r="J148" t="str">
        <f t="shared" si="48"/>
        <v>PR:Books_SP:Alice20171031 $906</v>
      </c>
      <c r="K148" t="str">
        <f t="shared" si="49"/>
        <v>PR:Books SP:Alice20171031 $906</v>
      </c>
      <c r="L148" t="str">
        <f t="shared" si="50"/>
        <v>Books SP:Alice20171031 $906</v>
      </c>
      <c r="M148" t="str">
        <f t="shared" si="51"/>
        <v>Books Alice20171031 $906</v>
      </c>
      <c r="N148" t="str">
        <f t="shared" si="52"/>
        <v>Books Alice20171031 $906</v>
      </c>
      <c r="O148" t="str">
        <f t="shared" si="53"/>
        <v>Books Alice 20171031 $906</v>
      </c>
      <c r="P148">
        <f t="shared" si="54"/>
        <v>6</v>
      </c>
      <c r="Q148">
        <f t="shared" si="55"/>
        <v>12</v>
      </c>
      <c r="R148">
        <f t="shared" si="56"/>
        <v>21</v>
      </c>
      <c r="S148" t="str">
        <f t="shared" si="57"/>
        <v>Books</v>
      </c>
      <c r="T148" t="str">
        <f t="shared" si="58"/>
        <v>Alice</v>
      </c>
      <c r="U148" t="str">
        <f t="shared" si="59"/>
        <v>20171031</v>
      </c>
      <c r="V148" t="str">
        <f t="shared" si="60"/>
        <v>906</v>
      </c>
      <c r="W148" s="4">
        <f t="shared" si="61"/>
        <v>43039</v>
      </c>
      <c r="X148" s="5">
        <f t="shared" si="62"/>
        <v>906</v>
      </c>
    </row>
    <row r="149" spans="3:24" x14ac:dyDescent="0.35">
      <c r="C149" s="2">
        <f t="shared" si="42"/>
        <v>148</v>
      </c>
      <c r="D149" t="s">
        <v>147</v>
      </c>
      <c r="E149">
        <f t="shared" si="43"/>
        <v>31</v>
      </c>
      <c r="F149" t="str">
        <f t="shared" si="44"/>
        <v xml:space="preserve">///PR:Books___SP:Carol20171010  $725 </v>
      </c>
      <c r="G149">
        <f t="shared" si="45"/>
        <v>32</v>
      </c>
      <c r="H149" t="str">
        <f t="shared" si="46"/>
        <v>///PR:Books___SP:Carol20171010  $725</v>
      </c>
      <c r="I149">
        <f t="shared" si="47"/>
        <v>53</v>
      </c>
      <c r="J149" t="str">
        <f t="shared" si="48"/>
        <v>PR:Books___SP:Carol20171010  $725</v>
      </c>
      <c r="K149" t="str">
        <f t="shared" si="49"/>
        <v>PR:Books   SP:Carol20171010  $725</v>
      </c>
      <c r="L149" t="str">
        <f t="shared" si="50"/>
        <v>Books   SP:Carol20171010  $725</v>
      </c>
      <c r="M149" t="str">
        <f t="shared" si="51"/>
        <v>Books   Carol20171010  $725</v>
      </c>
      <c r="N149" t="str">
        <f t="shared" si="52"/>
        <v>Books Carol20171010 $725</v>
      </c>
      <c r="O149" t="str">
        <f t="shared" si="53"/>
        <v>Books Carol 20171010 $725</v>
      </c>
      <c r="P149">
        <f t="shared" si="54"/>
        <v>6</v>
      </c>
      <c r="Q149">
        <f t="shared" si="55"/>
        <v>12</v>
      </c>
      <c r="R149">
        <f t="shared" si="56"/>
        <v>21</v>
      </c>
      <c r="S149" t="str">
        <f t="shared" si="57"/>
        <v>Books</v>
      </c>
      <c r="T149" t="str">
        <f t="shared" si="58"/>
        <v>Carol</v>
      </c>
      <c r="U149" t="str">
        <f t="shared" si="59"/>
        <v>20171010</v>
      </c>
      <c r="V149" t="str">
        <f t="shared" si="60"/>
        <v>725</v>
      </c>
      <c r="W149" s="4">
        <f t="shared" si="61"/>
        <v>43018</v>
      </c>
      <c r="X149" s="5">
        <f t="shared" si="62"/>
        <v>725</v>
      </c>
    </row>
    <row r="150" spans="3:24" x14ac:dyDescent="0.35">
      <c r="C150" s="2">
        <f t="shared" si="42"/>
        <v>149</v>
      </c>
      <c r="D150" t="s">
        <v>148</v>
      </c>
      <c r="E150">
        <f t="shared" si="43"/>
        <v>31</v>
      </c>
      <c r="F150" t="str">
        <f t="shared" si="44"/>
        <v xml:space="preserve">////PR:Clothing__SP:Carol20171015  $1304    </v>
      </c>
      <c r="G150">
        <f t="shared" si="45"/>
        <v>32</v>
      </c>
      <c r="H150" t="str">
        <f t="shared" si="46"/>
        <v>////PR:Clothing__SP:Carol20171015  $1304</v>
      </c>
      <c r="I150">
        <f t="shared" si="47"/>
        <v>52</v>
      </c>
      <c r="J150" t="str">
        <f t="shared" si="48"/>
        <v>PR:Clothing__SP:Carol20171015  $1304</v>
      </c>
      <c r="K150" t="str">
        <f t="shared" si="49"/>
        <v>PR:Clothing  SP:Carol20171015  $1304</v>
      </c>
      <c r="L150" t="str">
        <f t="shared" si="50"/>
        <v>Clothing  SP:Carol20171015  $1304</v>
      </c>
      <c r="M150" t="str">
        <f t="shared" si="51"/>
        <v>Clothing  Carol20171015  $1304</v>
      </c>
      <c r="N150" t="str">
        <f t="shared" si="52"/>
        <v>Clothing Carol20171015 $1304</v>
      </c>
      <c r="O150" t="str">
        <f t="shared" si="53"/>
        <v>Clothing Carol 20171015 $1304</v>
      </c>
      <c r="P150">
        <f t="shared" si="54"/>
        <v>9</v>
      </c>
      <c r="Q150">
        <f t="shared" si="55"/>
        <v>15</v>
      </c>
      <c r="R150">
        <f t="shared" si="56"/>
        <v>24</v>
      </c>
      <c r="S150" t="str">
        <f t="shared" si="57"/>
        <v>Clothing</v>
      </c>
      <c r="T150" t="str">
        <f t="shared" si="58"/>
        <v>Carol</v>
      </c>
      <c r="U150" t="str">
        <f t="shared" si="59"/>
        <v>20171015</v>
      </c>
      <c r="V150" t="str">
        <f t="shared" si="60"/>
        <v>1304</v>
      </c>
      <c r="W150" s="4">
        <f t="shared" si="61"/>
        <v>43023</v>
      </c>
      <c r="X150" s="5">
        <f t="shared" si="62"/>
        <v>1304</v>
      </c>
    </row>
    <row r="151" spans="3:24" x14ac:dyDescent="0.35">
      <c r="C151" s="2">
        <f t="shared" si="42"/>
        <v>150</v>
      </c>
      <c r="D151" t="s">
        <v>149</v>
      </c>
      <c r="E151">
        <f t="shared" si="43"/>
        <v>28</v>
      </c>
      <c r="F151" t="str">
        <f t="shared" si="44"/>
        <v xml:space="preserve">//PR:Games_____SP:Carol20171026   $1050    </v>
      </c>
      <c r="G151">
        <f t="shared" si="45"/>
        <v>32</v>
      </c>
      <c r="H151" t="str">
        <f t="shared" si="46"/>
        <v>//PR:Games_____SP:Carol20171026   $1050</v>
      </c>
      <c r="I151">
        <f t="shared" si="47"/>
        <v>48</v>
      </c>
      <c r="J151" t="str">
        <f t="shared" si="48"/>
        <v>PR:Games_____SP:Carol20171026   $1050</v>
      </c>
      <c r="K151" t="str">
        <f t="shared" si="49"/>
        <v>PR:Games     SP:Carol20171026   $1050</v>
      </c>
      <c r="L151" t="str">
        <f t="shared" si="50"/>
        <v>Games     SP:Carol20171026   $1050</v>
      </c>
      <c r="M151" t="str">
        <f t="shared" si="51"/>
        <v>Games     Carol20171026   $1050</v>
      </c>
      <c r="N151" t="str">
        <f t="shared" si="52"/>
        <v>Games Carol20171026 $1050</v>
      </c>
      <c r="O151" t="str">
        <f t="shared" si="53"/>
        <v>Games Carol 20171026 $1050</v>
      </c>
      <c r="P151">
        <f t="shared" si="54"/>
        <v>6</v>
      </c>
      <c r="Q151">
        <f t="shared" si="55"/>
        <v>12</v>
      </c>
      <c r="R151">
        <f t="shared" si="56"/>
        <v>21</v>
      </c>
      <c r="S151" t="str">
        <f t="shared" si="57"/>
        <v>Games</v>
      </c>
      <c r="T151" t="str">
        <f t="shared" si="58"/>
        <v>Carol</v>
      </c>
      <c r="U151" t="str">
        <f t="shared" si="59"/>
        <v>20171026</v>
      </c>
      <c r="V151" t="str">
        <f t="shared" si="60"/>
        <v>1050</v>
      </c>
      <c r="W151" s="4">
        <f t="shared" si="61"/>
        <v>43034</v>
      </c>
      <c r="X151" s="5">
        <f t="shared" si="62"/>
        <v>1050</v>
      </c>
    </row>
    <row r="152" spans="3:24" x14ac:dyDescent="0.35">
      <c r="C152" s="2">
        <f t="shared" si="42"/>
        <v>151</v>
      </c>
      <c r="D152" t="s">
        <v>150</v>
      </c>
      <c r="E152">
        <f t="shared" si="43"/>
        <v>31</v>
      </c>
      <c r="F152" t="str">
        <f t="shared" si="44"/>
        <v xml:space="preserve">/////PR:Books_SP:David2017103   $765 </v>
      </c>
      <c r="G152">
        <f t="shared" si="45"/>
        <v>32</v>
      </c>
      <c r="H152" t="str">
        <f t="shared" si="46"/>
        <v>/////PR:Books_SP:David2017103   $765</v>
      </c>
      <c r="I152">
        <f t="shared" si="47"/>
        <v>53</v>
      </c>
      <c r="J152" t="str">
        <f t="shared" si="48"/>
        <v>PR:Books_SP:David2017103   $765</v>
      </c>
      <c r="K152" t="str">
        <f t="shared" si="49"/>
        <v>PR:Books SP:David2017103   $765</v>
      </c>
      <c r="L152" t="str">
        <f t="shared" si="50"/>
        <v>Books SP:David2017103   $765</v>
      </c>
      <c r="M152" t="str">
        <f t="shared" si="51"/>
        <v>Books David2017103   $765</v>
      </c>
      <c r="N152" t="str">
        <f t="shared" si="52"/>
        <v>Books David2017103 $765</v>
      </c>
      <c r="O152" t="str">
        <f t="shared" si="53"/>
        <v>Books David 2017103 $765</v>
      </c>
      <c r="P152">
        <f t="shared" si="54"/>
        <v>6</v>
      </c>
      <c r="Q152">
        <f t="shared" si="55"/>
        <v>12</v>
      </c>
      <c r="R152">
        <f t="shared" si="56"/>
        <v>20</v>
      </c>
      <c r="S152" t="str">
        <f t="shared" si="57"/>
        <v>Books</v>
      </c>
      <c r="T152" t="str">
        <f t="shared" si="58"/>
        <v>David</v>
      </c>
      <c r="U152" t="str">
        <f t="shared" si="59"/>
        <v>2017103</v>
      </c>
      <c r="V152" t="str">
        <f t="shared" si="60"/>
        <v>765</v>
      </c>
      <c r="W152" s="4">
        <f t="shared" si="61"/>
        <v>43011</v>
      </c>
      <c r="X152" s="5">
        <f t="shared" si="62"/>
        <v>765</v>
      </c>
    </row>
    <row r="153" spans="3:24" x14ac:dyDescent="0.35">
      <c r="C153" s="2">
        <f t="shared" si="42"/>
        <v>152</v>
      </c>
      <c r="D153" t="s">
        <v>151</v>
      </c>
      <c r="E153">
        <f t="shared" si="43"/>
        <v>29</v>
      </c>
      <c r="F153" t="str">
        <f t="shared" si="44"/>
        <v xml:space="preserve">//PR:Music__SP:Barney2017101  $1272   </v>
      </c>
      <c r="G153">
        <f t="shared" si="45"/>
        <v>32</v>
      </c>
      <c r="H153" t="str">
        <f t="shared" si="46"/>
        <v>//PR:Music__SP:Barney2017101  $1272</v>
      </c>
      <c r="I153">
        <f t="shared" si="47"/>
        <v>50</v>
      </c>
      <c r="J153" t="str">
        <f t="shared" si="48"/>
        <v>PR:Music__SP:Barney2017101  $1272</v>
      </c>
      <c r="K153" t="str">
        <f t="shared" si="49"/>
        <v>PR:Music  SP:Barney2017101  $1272</v>
      </c>
      <c r="L153" t="str">
        <f t="shared" si="50"/>
        <v>Music  SP:Barney2017101  $1272</v>
      </c>
      <c r="M153" t="str">
        <f t="shared" si="51"/>
        <v>Music  Barney2017101  $1272</v>
      </c>
      <c r="N153" t="str">
        <f t="shared" si="52"/>
        <v>Music Barney2017101 $1272</v>
      </c>
      <c r="O153" t="str">
        <f t="shared" si="53"/>
        <v>Music Barney 2017101 $1272</v>
      </c>
      <c r="P153">
        <f t="shared" si="54"/>
        <v>6</v>
      </c>
      <c r="Q153">
        <f t="shared" si="55"/>
        <v>13</v>
      </c>
      <c r="R153">
        <f t="shared" si="56"/>
        <v>21</v>
      </c>
      <c r="S153" t="str">
        <f t="shared" si="57"/>
        <v>Music</v>
      </c>
      <c r="T153" t="str">
        <f t="shared" si="58"/>
        <v>Barney</v>
      </c>
      <c r="U153" t="str">
        <f t="shared" si="59"/>
        <v>2017101</v>
      </c>
      <c r="V153" t="str">
        <f t="shared" si="60"/>
        <v>1272</v>
      </c>
      <c r="W153" s="4">
        <f t="shared" si="61"/>
        <v>43009</v>
      </c>
      <c r="X153" s="5">
        <f t="shared" si="62"/>
        <v>1272</v>
      </c>
    </row>
    <row r="154" spans="3:24" x14ac:dyDescent="0.35">
      <c r="C154" s="2">
        <f t="shared" si="42"/>
        <v>153</v>
      </c>
      <c r="D154" t="s">
        <v>152</v>
      </c>
      <c r="E154">
        <f t="shared" si="43"/>
        <v>30</v>
      </c>
      <c r="F154" t="str">
        <f t="shared" si="44"/>
        <v xml:space="preserve">//PR:Music_SP:David2017107  $1424    </v>
      </c>
      <c r="G154">
        <f t="shared" si="45"/>
        <v>32</v>
      </c>
      <c r="H154" t="str">
        <f t="shared" si="46"/>
        <v>//PR:Music_SP:David2017107  $1424</v>
      </c>
      <c r="I154">
        <f t="shared" si="47"/>
        <v>52</v>
      </c>
      <c r="J154" t="str">
        <f t="shared" si="48"/>
        <v>PR:Music_SP:David2017107  $1424</v>
      </c>
      <c r="K154" t="str">
        <f t="shared" si="49"/>
        <v>PR:Music SP:David2017107  $1424</v>
      </c>
      <c r="L154" t="str">
        <f t="shared" si="50"/>
        <v>Music SP:David2017107  $1424</v>
      </c>
      <c r="M154" t="str">
        <f t="shared" si="51"/>
        <v>Music David2017107  $1424</v>
      </c>
      <c r="N154" t="str">
        <f t="shared" si="52"/>
        <v>Music David2017107 $1424</v>
      </c>
      <c r="O154" t="str">
        <f t="shared" si="53"/>
        <v>Music David 2017107 $1424</v>
      </c>
      <c r="P154">
        <f t="shared" si="54"/>
        <v>6</v>
      </c>
      <c r="Q154">
        <f t="shared" si="55"/>
        <v>12</v>
      </c>
      <c r="R154">
        <f t="shared" si="56"/>
        <v>20</v>
      </c>
      <c r="S154" t="str">
        <f t="shared" si="57"/>
        <v>Music</v>
      </c>
      <c r="T154" t="str">
        <f t="shared" si="58"/>
        <v>David</v>
      </c>
      <c r="U154" t="str">
        <f t="shared" si="59"/>
        <v>2017107</v>
      </c>
      <c r="V154" t="str">
        <f t="shared" si="60"/>
        <v>1424</v>
      </c>
      <c r="W154" s="4">
        <f t="shared" si="61"/>
        <v>43015</v>
      </c>
      <c r="X154" s="5">
        <f t="shared" si="62"/>
        <v>1424</v>
      </c>
    </row>
    <row r="155" spans="3:24" x14ac:dyDescent="0.35">
      <c r="C155" s="2">
        <f t="shared" si="42"/>
        <v>154</v>
      </c>
      <c r="D155" t="s">
        <v>153</v>
      </c>
      <c r="E155">
        <f t="shared" si="43"/>
        <v>29</v>
      </c>
      <c r="F155" t="str">
        <f t="shared" si="44"/>
        <v xml:space="preserve">/////PR:Music____SP:Alice2017105 $1047     </v>
      </c>
      <c r="G155">
        <f t="shared" si="45"/>
        <v>32</v>
      </c>
      <c r="H155" t="str">
        <f t="shared" si="46"/>
        <v>/////PR:Music____SP:Alice2017105 $1047</v>
      </c>
      <c r="I155">
        <f t="shared" si="47"/>
        <v>55</v>
      </c>
      <c r="J155" t="str">
        <f t="shared" si="48"/>
        <v>PR:Music____SP:Alice2017105 $1047</v>
      </c>
      <c r="K155" t="str">
        <f t="shared" si="49"/>
        <v>PR:Music    SP:Alice2017105 $1047</v>
      </c>
      <c r="L155" t="str">
        <f t="shared" si="50"/>
        <v>Music    SP:Alice2017105 $1047</v>
      </c>
      <c r="M155" t="str">
        <f t="shared" si="51"/>
        <v>Music    Alice2017105 $1047</v>
      </c>
      <c r="N155" t="str">
        <f t="shared" si="52"/>
        <v>Music Alice2017105 $1047</v>
      </c>
      <c r="O155" t="str">
        <f t="shared" si="53"/>
        <v>Music Alice 2017105 $1047</v>
      </c>
      <c r="P155">
        <f t="shared" si="54"/>
        <v>6</v>
      </c>
      <c r="Q155">
        <f t="shared" si="55"/>
        <v>12</v>
      </c>
      <c r="R155">
        <f t="shared" si="56"/>
        <v>20</v>
      </c>
      <c r="S155" t="str">
        <f t="shared" si="57"/>
        <v>Music</v>
      </c>
      <c r="T155" t="str">
        <f t="shared" si="58"/>
        <v>Alice</v>
      </c>
      <c r="U155" t="str">
        <f t="shared" si="59"/>
        <v>2017105</v>
      </c>
      <c r="V155" t="str">
        <f t="shared" si="60"/>
        <v>1047</v>
      </c>
      <c r="W155" s="4">
        <f t="shared" si="61"/>
        <v>43013</v>
      </c>
      <c r="X155" s="5">
        <f t="shared" si="62"/>
        <v>1047</v>
      </c>
    </row>
    <row r="156" spans="3:24" x14ac:dyDescent="0.35">
      <c r="C156" s="2">
        <f t="shared" si="42"/>
        <v>155</v>
      </c>
      <c r="D156" t="s">
        <v>154</v>
      </c>
      <c r="E156">
        <f t="shared" si="43"/>
        <v>29</v>
      </c>
      <c r="F156" t="str">
        <f t="shared" si="44"/>
        <v xml:space="preserve">////PR:Games_SP:Carol2017101    $1451   </v>
      </c>
      <c r="G156">
        <f t="shared" si="45"/>
        <v>32</v>
      </c>
      <c r="H156" t="str">
        <f t="shared" si="46"/>
        <v>////PR:Games_SP:Carol2017101    $1451</v>
      </c>
      <c r="I156">
        <f t="shared" si="47"/>
        <v>49</v>
      </c>
      <c r="J156" t="str">
        <f t="shared" si="48"/>
        <v>PR:Games_SP:Carol2017101    $1451</v>
      </c>
      <c r="K156" t="str">
        <f t="shared" si="49"/>
        <v>PR:Games SP:Carol2017101    $1451</v>
      </c>
      <c r="L156" t="str">
        <f t="shared" si="50"/>
        <v>Games SP:Carol2017101    $1451</v>
      </c>
      <c r="M156" t="str">
        <f t="shared" si="51"/>
        <v>Games Carol2017101    $1451</v>
      </c>
      <c r="N156" t="str">
        <f t="shared" si="52"/>
        <v>Games Carol2017101 $1451</v>
      </c>
      <c r="O156" t="str">
        <f t="shared" si="53"/>
        <v>Games Carol 2017101 $1451</v>
      </c>
      <c r="P156">
        <f t="shared" si="54"/>
        <v>6</v>
      </c>
      <c r="Q156">
        <f t="shared" si="55"/>
        <v>12</v>
      </c>
      <c r="R156">
        <f t="shared" si="56"/>
        <v>20</v>
      </c>
      <c r="S156" t="str">
        <f t="shared" si="57"/>
        <v>Games</v>
      </c>
      <c r="T156" t="str">
        <f t="shared" si="58"/>
        <v>Carol</v>
      </c>
      <c r="U156" t="str">
        <f t="shared" si="59"/>
        <v>2017101</v>
      </c>
      <c r="V156" t="str">
        <f t="shared" si="60"/>
        <v>1451</v>
      </c>
      <c r="W156" s="4">
        <f t="shared" si="61"/>
        <v>43009</v>
      </c>
      <c r="X156" s="5">
        <f t="shared" si="62"/>
        <v>1451</v>
      </c>
    </row>
    <row r="157" spans="3:24" x14ac:dyDescent="0.35">
      <c r="C157" s="2">
        <f t="shared" si="42"/>
        <v>156</v>
      </c>
      <c r="D157" t="s">
        <v>155</v>
      </c>
      <c r="E157">
        <f t="shared" si="43"/>
        <v>28</v>
      </c>
      <c r="F157" t="str">
        <f t="shared" si="44"/>
        <v xml:space="preserve">/////PR:Clothing___SP:Barney20171010    $667   </v>
      </c>
      <c r="G157">
        <f t="shared" si="45"/>
        <v>32</v>
      </c>
      <c r="H157" t="str">
        <f t="shared" si="46"/>
        <v>/////PR:Clothing___SP:Barney20171010    $667</v>
      </c>
      <c r="I157">
        <f t="shared" si="47"/>
        <v>55</v>
      </c>
      <c r="J157" t="str">
        <f t="shared" si="48"/>
        <v>PR:Clothing___SP:Barney20171010    $667</v>
      </c>
      <c r="K157" t="str">
        <f t="shared" si="49"/>
        <v>PR:Clothing   SP:Barney20171010    $667</v>
      </c>
      <c r="L157" t="str">
        <f t="shared" si="50"/>
        <v>Clothing   SP:Barney20171010    $667</v>
      </c>
      <c r="M157" t="str">
        <f t="shared" si="51"/>
        <v>Clothing   Barney20171010    $667</v>
      </c>
      <c r="N157" t="str">
        <f t="shared" si="52"/>
        <v>Clothing Barney20171010 $667</v>
      </c>
      <c r="O157" t="str">
        <f t="shared" si="53"/>
        <v>Clothing Barney 20171010 $667</v>
      </c>
      <c r="P157">
        <f t="shared" si="54"/>
        <v>9</v>
      </c>
      <c r="Q157">
        <f t="shared" si="55"/>
        <v>16</v>
      </c>
      <c r="R157">
        <f t="shared" si="56"/>
        <v>25</v>
      </c>
      <c r="S157" t="str">
        <f t="shared" si="57"/>
        <v>Clothing</v>
      </c>
      <c r="T157" t="str">
        <f t="shared" si="58"/>
        <v>Barney</v>
      </c>
      <c r="U157" t="str">
        <f t="shared" si="59"/>
        <v>20171010</v>
      </c>
      <c r="V157" t="str">
        <f t="shared" si="60"/>
        <v>667</v>
      </c>
      <c r="W157" s="4">
        <f t="shared" si="61"/>
        <v>43018</v>
      </c>
      <c r="X157" s="5">
        <f t="shared" si="62"/>
        <v>667</v>
      </c>
    </row>
    <row r="158" spans="3:24" x14ac:dyDescent="0.35">
      <c r="C158" s="2">
        <f t="shared" si="42"/>
        <v>157</v>
      </c>
      <c r="D158" t="s">
        <v>156</v>
      </c>
      <c r="E158">
        <f t="shared" si="43"/>
        <v>29</v>
      </c>
      <c r="F158" t="str">
        <f t="shared" si="44"/>
        <v xml:space="preserve">///PR:Books_____SP:Carol2017101     $670    </v>
      </c>
      <c r="G158">
        <f t="shared" si="45"/>
        <v>32</v>
      </c>
      <c r="H158" t="str">
        <f t="shared" si="46"/>
        <v>///PR:Books_____SP:Carol2017101     $670</v>
      </c>
      <c r="I158">
        <f t="shared" si="47"/>
        <v>48</v>
      </c>
      <c r="J158" t="str">
        <f t="shared" si="48"/>
        <v>PR:Books_____SP:Carol2017101     $670</v>
      </c>
      <c r="K158" t="str">
        <f t="shared" si="49"/>
        <v>PR:Books     SP:Carol2017101     $670</v>
      </c>
      <c r="L158" t="str">
        <f t="shared" si="50"/>
        <v>Books     SP:Carol2017101     $670</v>
      </c>
      <c r="M158" t="str">
        <f t="shared" si="51"/>
        <v>Books     Carol2017101     $670</v>
      </c>
      <c r="N158" t="str">
        <f t="shared" si="52"/>
        <v>Books Carol2017101 $670</v>
      </c>
      <c r="O158" t="str">
        <f t="shared" si="53"/>
        <v>Books Carol 2017101 $670</v>
      </c>
      <c r="P158">
        <f t="shared" si="54"/>
        <v>6</v>
      </c>
      <c r="Q158">
        <f t="shared" si="55"/>
        <v>12</v>
      </c>
      <c r="R158">
        <f t="shared" si="56"/>
        <v>20</v>
      </c>
      <c r="S158" t="str">
        <f t="shared" si="57"/>
        <v>Books</v>
      </c>
      <c r="T158" t="str">
        <f t="shared" si="58"/>
        <v>Carol</v>
      </c>
      <c r="U158" t="str">
        <f t="shared" si="59"/>
        <v>2017101</v>
      </c>
      <c r="V158" t="str">
        <f t="shared" si="60"/>
        <v>670</v>
      </c>
      <c r="W158" s="4">
        <f t="shared" si="61"/>
        <v>43009</v>
      </c>
      <c r="X158" s="5">
        <f t="shared" si="62"/>
        <v>670</v>
      </c>
    </row>
    <row r="159" spans="3:24" x14ac:dyDescent="0.35">
      <c r="C159" s="2">
        <f t="shared" si="42"/>
        <v>158</v>
      </c>
      <c r="D159" t="s">
        <v>157</v>
      </c>
      <c r="E159">
        <f t="shared" si="43"/>
        <v>31</v>
      </c>
      <c r="F159" t="str">
        <f t="shared" si="44"/>
        <v xml:space="preserve">//PR:Books____SP:David2017104  $729   </v>
      </c>
      <c r="G159">
        <f t="shared" si="45"/>
        <v>32</v>
      </c>
      <c r="H159" t="str">
        <f t="shared" si="46"/>
        <v>//PR:Books____SP:David2017104  $729</v>
      </c>
      <c r="I159">
        <f t="shared" si="47"/>
        <v>57</v>
      </c>
      <c r="J159" t="str">
        <f t="shared" si="48"/>
        <v>PR:Books____SP:David2017104  $729</v>
      </c>
      <c r="K159" t="str">
        <f t="shared" si="49"/>
        <v>PR:Books    SP:David2017104  $729</v>
      </c>
      <c r="L159" t="str">
        <f t="shared" si="50"/>
        <v>Books    SP:David2017104  $729</v>
      </c>
      <c r="M159" t="str">
        <f t="shared" si="51"/>
        <v>Books    David2017104  $729</v>
      </c>
      <c r="N159" t="str">
        <f t="shared" si="52"/>
        <v>Books David2017104 $729</v>
      </c>
      <c r="O159" t="str">
        <f t="shared" si="53"/>
        <v>Books David 2017104 $729</v>
      </c>
      <c r="P159">
        <f t="shared" si="54"/>
        <v>6</v>
      </c>
      <c r="Q159">
        <f t="shared" si="55"/>
        <v>12</v>
      </c>
      <c r="R159">
        <f t="shared" si="56"/>
        <v>20</v>
      </c>
      <c r="S159" t="str">
        <f t="shared" si="57"/>
        <v>Books</v>
      </c>
      <c r="T159" t="str">
        <f t="shared" si="58"/>
        <v>David</v>
      </c>
      <c r="U159" t="str">
        <f t="shared" si="59"/>
        <v>2017104</v>
      </c>
      <c r="V159" t="str">
        <f t="shared" si="60"/>
        <v>729</v>
      </c>
      <c r="W159" s="4">
        <f t="shared" si="61"/>
        <v>43012</v>
      </c>
      <c r="X159" s="5">
        <f t="shared" si="62"/>
        <v>729</v>
      </c>
    </row>
    <row r="160" spans="3:24" x14ac:dyDescent="0.35">
      <c r="C160" s="2">
        <f t="shared" si="42"/>
        <v>159</v>
      </c>
      <c r="D160" t="s">
        <v>158</v>
      </c>
      <c r="E160">
        <f t="shared" si="43"/>
        <v>31</v>
      </c>
      <c r="F160" t="str">
        <f t="shared" si="44"/>
        <v xml:space="preserve">/////PR:Clothing_____SP:Carol20171021  $1864     </v>
      </c>
      <c r="G160">
        <f t="shared" si="45"/>
        <v>32</v>
      </c>
      <c r="H160" t="str">
        <f t="shared" si="46"/>
        <v>/////PR:Clothing_____SP:Carol20171021  $1864</v>
      </c>
      <c r="I160">
        <f t="shared" si="47"/>
        <v>52</v>
      </c>
      <c r="J160" t="str">
        <f t="shared" si="48"/>
        <v>PR:Clothing_____SP:Carol20171021  $1864</v>
      </c>
      <c r="K160" t="str">
        <f t="shared" si="49"/>
        <v>PR:Clothing     SP:Carol20171021  $1864</v>
      </c>
      <c r="L160" t="str">
        <f t="shared" si="50"/>
        <v>Clothing     SP:Carol20171021  $1864</v>
      </c>
      <c r="M160" t="str">
        <f t="shared" si="51"/>
        <v>Clothing     Carol20171021  $1864</v>
      </c>
      <c r="N160" t="str">
        <f t="shared" si="52"/>
        <v>Clothing Carol20171021 $1864</v>
      </c>
      <c r="O160" t="str">
        <f t="shared" si="53"/>
        <v>Clothing Carol 20171021 $1864</v>
      </c>
      <c r="P160">
        <f t="shared" si="54"/>
        <v>9</v>
      </c>
      <c r="Q160">
        <f t="shared" si="55"/>
        <v>15</v>
      </c>
      <c r="R160">
        <f t="shared" si="56"/>
        <v>24</v>
      </c>
      <c r="S160" t="str">
        <f t="shared" si="57"/>
        <v>Clothing</v>
      </c>
      <c r="T160" t="str">
        <f t="shared" si="58"/>
        <v>Carol</v>
      </c>
      <c r="U160" t="str">
        <f t="shared" si="59"/>
        <v>20171021</v>
      </c>
      <c r="V160" t="str">
        <f t="shared" si="60"/>
        <v>1864</v>
      </c>
      <c r="W160" s="4">
        <f t="shared" si="61"/>
        <v>43029</v>
      </c>
      <c r="X160" s="5">
        <f t="shared" si="62"/>
        <v>1864</v>
      </c>
    </row>
    <row r="161" spans="3:24" x14ac:dyDescent="0.35">
      <c r="C161" s="2">
        <f t="shared" si="42"/>
        <v>160</v>
      </c>
      <c r="D161" t="s">
        <v>159</v>
      </c>
      <c r="E161">
        <f t="shared" si="43"/>
        <v>30</v>
      </c>
      <c r="F161" t="str">
        <f t="shared" si="44"/>
        <v xml:space="preserve">////PR:Books__SP:Carol20171013    $0   </v>
      </c>
      <c r="G161">
        <f t="shared" si="45"/>
        <v>32</v>
      </c>
      <c r="H161" t="str">
        <f t="shared" si="46"/>
        <v>////PR:Books__SP:Carol20171013    $0</v>
      </c>
      <c r="I161">
        <f t="shared" si="47"/>
        <v>48</v>
      </c>
      <c r="J161" t="str">
        <f t="shared" si="48"/>
        <v>PR:Books__SP:Carol20171013    $0</v>
      </c>
      <c r="K161" t="str">
        <f t="shared" si="49"/>
        <v>PR:Books  SP:Carol20171013    $0</v>
      </c>
      <c r="L161" t="str">
        <f t="shared" si="50"/>
        <v>Books  SP:Carol20171013    $0</v>
      </c>
      <c r="M161" t="str">
        <f t="shared" si="51"/>
        <v>Books  Carol20171013    $0</v>
      </c>
      <c r="N161" t="str">
        <f t="shared" si="52"/>
        <v>Books Carol20171013 $0</v>
      </c>
      <c r="O161" t="str">
        <f t="shared" si="53"/>
        <v>Books Carol 20171013 $0</v>
      </c>
      <c r="P161">
        <f t="shared" si="54"/>
        <v>6</v>
      </c>
      <c r="Q161">
        <f t="shared" si="55"/>
        <v>12</v>
      </c>
      <c r="R161">
        <f t="shared" si="56"/>
        <v>21</v>
      </c>
      <c r="S161" t="str">
        <f t="shared" si="57"/>
        <v>Books</v>
      </c>
      <c r="T161" t="str">
        <f t="shared" si="58"/>
        <v>Carol</v>
      </c>
      <c r="U161" t="str">
        <f t="shared" si="59"/>
        <v>20171013</v>
      </c>
      <c r="V161" t="str">
        <f t="shared" si="60"/>
        <v>0</v>
      </c>
      <c r="W161" s="4">
        <f t="shared" si="61"/>
        <v>43021</v>
      </c>
      <c r="X161" s="5">
        <f t="shared" si="62"/>
        <v>0</v>
      </c>
    </row>
    <row r="162" spans="3:24" x14ac:dyDescent="0.35">
      <c r="C162" s="2">
        <f t="shared" si="42"/>
        <v>161</v>
      </c>
      <c r="D162" t="s">
        <v>160</v>
      </c>
      <c r="E162">
        <f t="shared" si="43"/>
        <v>31</v>
      </c>
      <c r="F162" t="str">
        <f t="shared" si="44"/>
        <v xml:space="preserve">//PR:Clothing_____SP:Carol20171019  $0  </v>
      </c>
      <c r="G162">
        <f t="shared" si="45"/>
        <v>32</v>
      </c>
      <c r="H162" t="str">
        <f t="shared" si="46"/>
        <v>//PR:Clothing_____SP:Carol20171019  $0</v>
      </c>
      <c r="I162">
        <f t="shared" si="47"/>
        <v>48</v>
      </c>
      <c r="J162" t="str">
        <f t="shared" si="48"/>
        <v>PR:Clothing_____SP:Carol20171019  $0</v>
      </c>
      <c r="K162" t="str">
        <f t="shared" si="49"/>
        <v>PR:Clothing     SP:Carol20171019  $0</v>
      </c>
      <c r="L162" t="str">
        <f t="shared" si="50"/>
        <v>Clothing     SP:Carol20171019  $0</v>
      </c>
      <c r="M162" t="str">
        <f t="shared" si="51"/>
        <v>Clothing     Carol20171019  $0</v>
      </c>
      <c r="N162" t="str">
        <f t="shared" si="52"/>
        <v>Clothing Carol20171019 $0</v>
      </c>
      <c r="O162" t="str">
        <f t="shared" si="53"/>
        <v>Clothing Carol 20171019 $0</v>
      </c>
      <c r="P162">
        <f t="shared" si="54"/>
        <v>9</v>
      </c>
      <c r="Q162">
        <f t="shared" si="55"/>
        <v>15</v>
      </c>
      <c r="R162">
        <f t="shared" si="56"/>
        <v>24</v>
      </c>
      <c r="S162" t="str">
        <f t="shared" si="57"/>
        <v>Clothing</v>
      </c>
      <c r="T162" t="str">
        <f t="shared" si="58"/>
        <v>Carol</v>
      </c>
      <c r="U162" t="str">
        <f t="shared" si="59"/>
        <v>20171019</v>
      </c>
      <c r="V162" t="str">
        <f t="shared" si="60"/>
        <v>0</v>
      </c>
      <c r="W162" s="4">
        <f t="shared" si="61"/>
        <v>43027</v>
      </c>
      <c r="X162" s="5">
        <f t="shared" si="62"/>
        <v>0</v>
      </c>
    </row>
    <row r="163" spans="3:24" x14ac:dyDescent="0.35">
      <c r="C163" s="2">
        <f t="shared" si="42"/>
        <v>162</v>
      </c>
      <c r="D163" t="s">
        <v>161</v>
      </c>
      <c r="E163">
        <f t="shared" si="43"/>
        <v>31</v>
      </c>
      <c r="F163" t="str">
        <f t="shared" si="44"/>
        <v xml:space="preserve">/PR:Clothing____SP:David20171028   $850     </v>
      </c>
      <c r="G163">
        <f t="shared" si="45"/>
        <v>32</v>
      </c>
      <c r="H163" t="str">
        <f t="shared" si="46"/>
        <v>/PR:Clothing____SP:David20171028   $850</v>
      </c>
      <c r="I163">
        <f t="shared" si="47"/>
        <v>48</v>
      </c>
      <c r="J163" t="str">
        <f t="shared" si="48"/>
        <v>PR:Clothing____SP:David20171028   $850</v>
      </c>
      <c r="K163" t="str">
        <f t="shared" si="49"/>
        <v>PR:Clothing    SP:David20171028   $850</v>
      </c>
      <c r="L163" t="str">
        <f t="shared" si="50"/>
        <v>Clothing    SP:David20171028   $850</v>
      </c>
      <c r="M163" t="str">
        <f t="shared" si="51"/>
        <v>Clothing    David20171028   $850</v>
      </c>
      <c r="N163" t="str">
        <f t="shared" si="52"/>
        <v>Clothing David20171028 $850</v>
      </c>
      <c r="O163" t="str">
        <f t="shared" si="53"/>
        <v>Clothing David 20171028 $850</v>
      </c>
      <c r="P163">
        <f t="shared" si="54"/>
        <v>9</v>
      </c>
      <c r="Q163">
        <f t="shared" si="55"/>
        <v>15</v>
      </c>
      <c r="R163">
        <f t="shared" si="56"/>
        <v>24</v>
      </c>
      <c r="S163" t="str">
        <f t="shared" si="57"/>
        <v>Clothing</v>
      </c>
      <c r="T163" t="str">
        <f t="shared" si="58"/>
        <v>David</v>
      </c>
      <c r="U163" t="str">
        <f t="shared" si="59"/>
        <v>20171028</v>
      </c>
      <c r="V163" t="str">
        <f t="shared" si="60"/>
        <v>850</v>
      </c>
      <c r="W163" s="4">
        <f t="shared" si="61"/>
        <v>43036</v>
      </c>
      <c r="X163" s="5">
        <f t="shared" si="62"/>
        <v>850</v>
      </c>
    </row>
    <row r="164" spans="3:24" x14ac:dyDescent="0.35">
      <c r="C164" s="2">
        <f t="shared" si="42"/>
        <v>163</v>
      </c>
      <c r="D164" t="s">
        <v>162</v>
      </c>
      <c r="E164">
        <f t="shared" si="43"/>
        <v>31</v>
      </c>
      <c r="F164" t="str">
        <f t="shared" si="44"/>
        <v xml:space="preserve">/PR:Games__SP:Carol20171015     $1500    </v>
      </c>
      <c r="G164">
        <f t="shared" si="45"/>
        <v>32</v>
      </c>
      <c r="H164" t="str">
        <f t="shared" si="46"/>
        <v>/PR:Games__SP:Carol20171015     $1500</v>
      </c>
      <c r="I164">
        <f t="shared" si="47"/>
        <v>48</v>
      </c>
      <c r="J164" t="str">
        <f t="shared" si="48"/>
        <v>PR:Games__SP:Carol20171015     $1500</v>
      </c>
      <c r="K164" t="str">
        <f t="shared" si="49"/>
        <v>PR:Games  SP:Carol20171015     $1500</v>
      </c>
      <c r="L164" t="str">
        <f t="shared" si="50"/>
        <v>Games  SP:Carol20171015     $1500</v>
      </c>
      <c r="M164" t="str">
        <f t="shared" si="51"/>
        <v>Games  Carol20171015     $1500</v>
      </c>
      <c r="N164" t="str">
        <f t="shared" si="52"/>
        <v>Games Carol20171015 $1500</v>
      </c>
      <c r="O164" t="str">
        <f t="shared" si="53"/>
        <v>Games Carol 20171015 $1500</v>
      </c>
      <c r="P164">
        <f t="shared" si="54"/>
        <v>6</v>
      </c>
      <c r="Q164">
        <f t="shared" si="55"/>
        <v>12</v>
      </c>
      <c r="R164">
        <f t="shared" si="56"/>
        <v>21</v>
      </c>
      <c r="S164" t="str">
        <f t="shared" si="57"/>
        <v>Games</v>
      </c>
      <c r="T164" t="str">
        <f t="shared" si="58"/>
        <v>Carol</v>
      </c>
      <c r="U164" t="str">
        <f t="shared" si="59"/>
        <v>20171015</v>
      </c>
      <c r="V164" t="str">
        <f t="shared" si="60"/>
        <v>1500</v>
      </c>
      <c r="W164" s="4">
        <f t="shared" si="61"/>
        <v>43023</v>
      </c>
      <c r="X164" s="5">
        <f t="shared" si="62"/>
        <v>1500</v>
      </c>
    </row>
    <row r="165" spans="3:24" x14ac:dyDescent="0.35">
      <c r="C165" s="2">
        <f t="shared" si="42"/>
        <v>164</v>
      </c>
      <c r="D165" t="s">
        <v>163</v>
      </c>
      <c r="E165">
        <f t="shared" si="43"/>
        <v>28</v>
      </c>
      <c r="F165" t="str">
        <f t="shared" si="44"/>
        <v xml:space="preserve">//PR:Music_SP:Carol20171011    $0 </v>
      </c>
      <c r="G165">
        <f t="shared" si="45"/>
        <v>32</v>
      </c>
      <c r="H165" t="str">
        <f t="shared" si="46"/>
        <v>//PR:Music_SP:Carol20171011    $0</v>
      </c>
      <c r="I165">
        <f t="shared" si="47"/>
        <v>48</v>
      </c>
      <c r="J165" t="str">
        <f t="shared" si="48"/>
        <v>PR:Music_SP:Carol20171011    $0</v>
      </c>
      <c r="K165" t="str">
        <f t="shared" si="49"/>
        <v>PR:Music SP:Carol20171011    $0</v>
      </c>
      <c r="L165" t="str">
        <f t="shared" si="50"/>
        <v>Music SP:Carol20171011    $0</v>
      </c>
      <c r="M165" t="str">
        <f t="shared" si="51"/>
        <v>Music Carol20171011    $0</v>
      </c>
      <c r="N165" t="str">
        <f t="shared" si="52"/>
        <v>Music Carol20171011 $0</v>
      </c>
      <c r="O165" t="str">
        <f t="shared" si="53"/>
        <v>Music Carol 20171011 $0</v>
      </c>
      <c r="P165">
        <f t="shared" si="54"/>
        <v>6</v>
      </c>
      <c r="Q165">
        <f t="shared" si="55"/>
        <v>12</v>
      </c>
      <c r="R165">
        <f t="shared" si="56"/>
        <v>21</v>
      </c>
      <c r="S165" t="str">
        <f t="shared" si="57"/>
        <v>Music</v>
      </c>
      <c r="T165" t="str">
        <f t="shared" si="58"/>
        <v>Carol</v>
      </c>
      <c r="U165" t="str">
        <f t="shared" si="59"/>
        <v>20171011</v>
      </c>
      <c r="V165" t="str">
        <f t="shared" si="60"/>
        <v>0</v>
      </c>
      <c r="W165" s="4">
        <f t="shared" si="61"/>
        <v>43019</v>
      </c>
      <c r="X165" s="5">
        <f t="shared" si="62"/>
        <v>0</v>
      </c>
    </row>
    <row r="166" spans="3:24" x14ac:dyDescent="0.35">
      <c r="C166" s="2">
        <f t="shared" si="42"/>
        <v>165</v>
      </c>
      <c r="D166" t="s">
        <v>164</v>
      </c>
      <c r="E166">
        <f t="shared" si="43"/>
        <v>30</v>
      </c>
      <c r="F166" t="str">
        <f t="shared" si="44"/>
        <v xml:space="preserve">/PR:Music___SP:Barney2017104   $1242    </v>
      </c>
      <c r="G166">
        <f t="shared" si="45"/>
        <v>32</v>
      </c>
      <c r="H166" t="str">
        <f t="shared" si="46"/>
        <v>/PR:Music___SP:Barney2017104   $1242</v>
      </c>
      <c r="I166">
        <f t="shared" si="47"/>
        <v>50</v>
      </c>
      <c r="J166" t="str">
        <f t="shared" si="48"/>
        <v>PR:Music___SP:Barney2017104   $1242</v>
      </c>
      <c r="K166" t="str">
        <f t="shared" si="49"/>
        <v>PR:Music   SP:Barney2017104   $1242</v>
      </c>
      <c r="L166" t="str">
        <f t="shared" si="50"/>
        <v>Music   SP:Barney2017104   $1242</v>
      </c>
      <c r="M166" t="str">
        <f t="shared" si="51"/>
        <v>Music   Barney2017104   $1242</v>
      </c>
      <c r="N166" t="str">
        <f t="shared" si="52"/>
        <v>Music Barney2017104 $1242</v>
      </c>
      <c r="O166" t="str">
        <f t="shared" si="53"/>
        <v>Music Barney 2017104 $1242</v>
      </c>
      <c r="P166">
        <f t="shared" si="54"/>
        <v>6</v>
      </c>
      <c r="Q166">
        <f t="shared" si="55"/>
        <v>13</v>
      </c>
      <c r="R166">
        <f t="shared" si="56"/>
        <v>21</v>
      </c>
      <c r="S166" t="str">
        <f t="shared" si="57"/>
        <v>Music</v>
      </c>
      <c r="T166" t="str">
        <f t="shared" si="58"/>
        <v>Barney</v>
      </c>
      <c r="U166" t="str">
        <f t="shared" si="59"/>
        <v>2017104</v>
      </c>
      <c r="V166" t="str">
        <f t="shared" si="60"/>
        <v>1242</v>
      </c>
      <c r="W166" s="4">
        <f t="shared" si="61"/>
        <v>43012</v>
      </c>
      <c r="X166" s="5">
        <f t="shared" si="62"/>
        <v>1242</v>
      </c>
    </row>
    <row r="167" spans="3:24" x14ac:dyDescent="0.35">
      <c r="C167" s="2">
        <f t="shared" si="42"/>
        <v>166</v>
      </c>
      <c r="D167" t="s">
        <v>165</v>
      </c>
      <c r="E167">
        <f t="shared" si="43"/>
        <v>30</v>
      </c>
      <c r="F167" t="str">
        <f t="shared" si="44"/>
        <v xml:space="preserve">////PR:Music___SP:Carol20171024 $0   </v>
      </c>
      <c r="G167">
        <f t="shared" si="45"/>
        <v>32</v>
      </c>
      <c r="H167" t="str">
        <f t="shared" si="46"/>
        <v>////PR:Music___SP:Carol20171024 $0</v>
      </c>
      <c r="I167">
        <f t="shared" si="47"/>
        <v>48</v>
      </c>
      <c r="J167" t="str">
        <f t="shared" si="48"/>
        <v>PR:Music___SP:Carol20171024 $0</v>
      </c>
      <c r="K167" t="str">
        <f t="shared" si="49"/>
        <v>PR:Music   SP:Carol20171024 $0</v>
      </c>
      <c r="L167" t="str">
        <f t="shared" si="50"/>
        <v>Music   SP:Carol20171024 $0</v>
      </c>
      <c r="M167" t="str">
        <f t="shared" si="51"/>
        <v>Music   Carol20171024 $0</v>
      </c>
      <c r="N167" t="str">
        <f t="shared" si="52"/>
        <v>Music Carol20171024 $0</v>
      </c>
      <c r="O167" t="str">
        <f t="shared" si="53"/>
        <v>Music Carol 20171024 $0</v>
      </c>
      <c r="P167">
        <f t="shared" si="54"/>
        <v>6</v>
      </c>
      <c r="Q167">
        <f t="shared" si="55"/>
        <v>12</v>
      </c>
      <c r="R167">
        <f t="shared" si="56"/>
        <v>21</v>
      </c>
      <c r="S167" t="str">
        <f t="shared" si="57"/>
        <v>Music</v>
      </c>
      <c r="T167" t="str">
        <f t="shared" si="58"/>
        <v>Carol</v>
      </c>
      <c r="U167" t="str">
        <f t="shared" si="59"/>
        <v>20171024</v>
      </c>
      <c r="V167" t="str">
        <f t="shared" si="60"/>
        <v>0</v>
      </c>
      <c r="W167" s="4">
        <f t="shared" si="61"/>
        <v>43032</v>
      </c>
      <c r="X167" s="5">
        <f t="shared" si="62"/>
        <v>0</v>
      </c>
    </row>
    <row r="168" spans="3:24" x14ac:dyDescent="0.35">
      <c r="C168" s="2">
        <f t="shared" si="42"/>
        <v>167</v>
      </c>
      <c r="D168" t="s">
        <v>166</v>
      </c>
      <c r="E168">
        <f t="shared" si="43"/>
        <v>31</v>
      </c>
      <c r="F168" t="str">
        <f t="shared" si="44"/>
        <v xml:space="preserve">/////PR:Books___SP:David20171023  $804     </v>
      </c>
      <c r="G168">
        <f t="shared" si="45"/>
        <v>32</v>
      </c>
      <c r="H168" t="str">
        <f t="shared" si="46"/>
        <v>/////PR:Books___SP:David20171023  $804</v>
      </c>
      <c r="I168">
        <f t="shared" si="47"/>
        <v>52</v>
      </c>
      <c r="J168" t="str">
        <f t="shared" si="48"/>
        <v>PR:Books___SP:David20171023  $804</v>
      </c>
      <c r="K168" t="str">
        <f t="shared" si="49"/>
        <v>PR:Books   SP:David20171023  $804</v>
      </c>
      <c r="L168" t="str">
        <f t="shared" si="50"/>
        <v>Books   SP:David20171023  $804</v>
      </c>
      <c r="M168" t="str">
        <f t="shared" si="51"/>
        <v>Books   David20171023  $804</v>
      </c>
      <c r="N168" t="str">
        <f t="shared" si="52"/>
        <v>Books David20171023 $804</v>
      </c>
      <c r="O168" t="str">
        <f t="shared" si="53"/>
        <v>Books David 20171023 $804</v>
      </c>
      <c r="P168">
        <f t="shared" si="54"/>
        <v>6</v>
      </c>
      <c r="Q168">
        <f t="shared" si="55"/>
        <v>12</v>
      </c>
      <c r="R168">
        <f t="shared" si="56"/>
        <v>21</v>
      </c>
      <c r="S168" t="str">
        <f t="shared" si="57"/>
        <v>Books</v>
      </c>
      <c r="T168" t="str">
        <f t="shared" si="58"/>
        <v>David</v>
      </c>
      <c r="U168" t="str">
        <f t="shared" si="59"/>
        <v>20171023</v>
      </c>
      <c r="V168" t="str">
        <f t="shared" si="60"/>
        <v>804</v>
      </c>
      <c r="W168" s="4">
        <f t="shared" si="61"/>
        <v>43031</v>
      </c>
      <c r="X168" s="5">
        <f t="shared" si="62"/>
        <v>804</v>
      </c>
    </row>
    <row r="169" spans="3:24" x14ac:dyDescent="0.35">
      <c r="C169" s="2">
        <f t="shared" si="42"/>
        <v>168</v>
      </c>
      <c r="D169" t="s">
        <v>167</v>
      </c>
      <c r="E169">
        <f t="shared" si="43"/>
        <v>28</v>
      </c>
      <c r="F169" t="str">
        <f t="shared" si="44"/>
        <v xml:space="preserve">/PR:Clothing_____SP:Barney20171018     $615    </v>
      </c>
      <c r="G169">
        <f t="shared" si="45"/>
        <v>32</v>
      </c>
      <c r="H169" t="str">
        <f t="shared" si="46"/>
        <v>/PR:Clothing_____SP:Barney20171018     $615</v>
      </c>
      <c r="I169">
        <f t="shared" si="47"/>
        <v>53</v>
      </c>
      <c r="J169" t="str">
        <f t="shared" si="48"/>
        <v>PR:Clothing_____SP:Barney20171018     $615</v>
      </c>
      <c r="K169" t="str">
        <f t="shared" si="49"/>
        <v>PR:Clothing     SP:Barney20171018     $615</v>
      </c>
      <c r="L169" t="str">
        <f t="shared" si="50"/>
        <v>Clothing     SP:Barney20171018     $615</v>
      </c>
      <c r="M169" t="str">
        <f t="shared" si="51"/>
        <v>Clothing     Barney20171018     $615</v>
      </c>
      <c r="N169" t="str">
        <f t="shared" si="52"/>
        <v>Clothing Barney20171018 $615</v>
      </c>
      <c r="O169" t="str">
        <f t="shared" si="53"/>
        <v>Clothing Barney 20171018 $615</v>
      </c>
      <c r="P169">
        <f t="shared" si="54"/>
        <v>9</v>
      </c>
      <c r="Q169">
        <f t="shared" si="55"/>
        <v>16</v>
      </c>
      <c r="R169">
        <f t="shared" si="56"/>
        <v>25</v>
      </c>
      <c r="S169" t="str">
        <f t="shared" si="57"/>
        <v>Clothing</v>
      </c>
      <c r="T169" t="str">
        <f t="shared" si="58"/>
        <v>Barney</v>
      </c>
      <c r="U169" t="str">
        <f t="shared" si="59"/>
        <v>20171018</v>
      </c>
      <c r="V169" t="str">
        <f t="shared" si="60"/>
        <v>615</v>
      </c>
      <c r="W169" s="4">
        <f t="shared" si="61"/>
        <v>43026</v>
      </c>
      <c r="X169" s="5">
        <f t="shared" si="62"/>
        <v>615</v>
      </c>
    </row>
    <row r="170" spans="3:24" x14ac:dyDescent="0.35">
      <c r="C170" s="2">
        <f t="shared" si="42"/>
        <v>169</v>
      </c>
      <c r="D170" t="s">
        <v>168</v>
      </c>
      <c r="E170">
        <f t="shared" si="43"/>
        <v>31</v>
      </c>
      <c r="F170" t="str">
        <f t="shared" si="44"/>
        <v xml:space="preserve">//PR:Books___SP:Barney2017106 $0   </v>
      </c>
      <c r="G170">
        <f t="shared" si="45"/>
        <v>32</v>
      </c>
      <c r="H170" t="str">
        <f t="shared" si="46"/>
        <v>//PR:Books___SP:Barney2017106 $0</v>
      </c>
      <c r="I170">
        <f t="shared" si="47"/>
        <v>48</v>
      </c>
      <c r="J170" t="str">
        <f t="shared" si="48"/>
        <v>PR:Books___SP:Barney2017106 $0</v>
      </c>
      <c r="K170" t="str">
        <f t="shared" si="49"/>
        <v>PR:Books   SP:Barney2017106 $0</v>
      </c>
      <c r="L170" t="str">
        <f t="shared" si="50"/>
        <v>Books   SP:Barney2017106 $0</v>
      </c>
      <c r="M170" t="str">
        <f t="shared" si="51"/>
        <v>Books   Barney2017106 $0</v>
      </c>
      <c r="N170" t="str">
        <f t="shared" si="52"/>
        <v>Books Barney2017106 $0</v>
      </c>
      <c r="O170" t="str">
        <f t="shared" si="53"/>
        <v>Books Barney 2017106 $0</v>
      </c>
      <c r="P170">
        <f t="shared" si="54"/>
        <v>6</v>
      </c>
      <c r="Q170">
        <f t="shared" si="55"/>
        <v>13</v>
      </c>
      <c r="R170">
        <f t="shared" si="56"/>
        <v>21</v>
      </c>
      <c r="S170" t="str">
        <f t="shared" si="57"/>
        <v>Books</v>
      </c>
      <c r="T170" t="str">
        <f t="shared" si="58"/>
        <v>Barney</v>
      </c>
      <c r="U170" t="str">
        <f t="shared" si="59"/>
        <v>2017106</v>
      </c>
      <c r="V170" t="str">
        <f t="shared" si="60"/>
        <v>0</v>
      </c>
      <c r="W170" s="4">
        <f t="shared" si="61"/>
        <v>43014</v>
      </c>
      <c r="X170" s="5">
        <f t="shared" si="62"/>
        <v>0</v>
      </c>
    </row>
    <row r="171" spans="3:24" x14ac:dyDescent="0.35">
      <c r="C171" s="2">
        <f t="shared" si="42"/>
        <v>170</v>
      </c>
      <c r="D171" t="s">
        <v>169</v>
      </c>
      <c r="E171">
        <f t="shared" si="43"/>
        <v>31</v>
      </c>
      <c r="F171" t="str">
        <f t="shared" si="44"/>
        <v xml:space="preserve">///PR:Games___SP:Carol20171016  $1900  </v>
      </c>
      <c r="G171">
        <f t="shared" si="45"/>
        <v>32</v>
      </c>
      <c r="H171" t="str">
        <f t="shared" si="46"/>
        <v>///PR:Games___SP:Carol20171016  $1900</v>
      </c>
      <c r="I171">
        <f t="shared" si="47"/>
        <v>48</v>
      </c>
      <c r="J171" t="str">
        <f t="shared" si="48"/>
        <v>PR:Games___SP:Carol20171016  $1900</v>
      </c>
      <c r="K171" t="str">
        <f t="shared" si="49"/>
        <v>PR:Games   SP:Carol20171016  $1900</v>
      </c>
      <c r="L171" t="str">
        <f t="shared" si="50"/>
        <v>Games   SP:Carol20171016  $1900</v>
      </c>
      <c r="M171" t="str">
        <f t="shared" si="51"/>
        <v>Games   Carol20171016  $1900</v>
      </c>
      <c r="N171" t="str">
        <f t="shared" si="52"/>
        <v>Games Carol20171016 $1900</v>
      </c>
      <c r="O171" t="str">
        <f t="shared" si="53"/>
        <v>Games Carol 20171016 $1900</v>
      </c>
      <c r="P171">
        <f t="shared" si="54"/>
        <v>6</v>
      </c>
      <c r="Q171">
        <f t="shared" si="55"/>
        <v>12</v>
      </c>
      <c r="R171">
        <f t="shared" si="56"/>
        <v>21</v>
      </c>
      <c r="S171" t="str">
        <f t="shared" si="57"/>
        <v>Games</v>
      </c>
      <c r="T171" t="str">
        <f t="shared" si="58"/>
        <v>Carol</v>
      </c>
      <c r="U171" t="str">
        <f t="shared" si="59"/>
        <v>20171016</v>
      </c>
      <c r="V171" t="str">
        <f t="shared" si="60"/>
        <v>1900</v>
      </c>
      <c r="W171" s="4">
        <f t="shared" si="61"/>
        <v>43024</v>
      </c>
      <c r="X171" s="5">
        <f t="shared" si="62"/>
        <v>1900</v>
      </c>
    </row>
    <row r="172" spans="3:24" x14ac:dyDescent="0.35">
      <c r="C172" s="2">
        <f t="shared" si="42"/>
        <v>171</v>
      </c>
      <c r="D172" t="s">
        <v>170</v>
      </c>
      <c r="E172">
        <f t="shared" si="43"/>
        <v>29</v>
      </c>
      <c r="F172" t="str">
        <f t="shared" si="44"/>
        <v xml:space="preserve">///PR:Clothing_____SP:Alice2017102  $1657 </v>
      </c>
      <c r="G172">
        <f t="shared" si="45"/>
        <v>32</v>
      </c>
      <c r="H172" t="str">
        <f t="shared" si="46"/>
        <v>///PR:Clothing_____SP:Alice2017102  $1657</v>
      </c>
      <c r="I172">
        <f t="shared" si="47"/>
        <v>55</v>
      </c>
      <c r="J172" t="str">
        <f t="shared" si="48"/>
        <v>PR:Clothing_____SP:Alice2017102  $1657</v>
      </c>
      <c r="K172" t="str">
        <f t="shared" si="49"/>
        <v>PR:Clothing     SP:Alice2017102  $1657</v>
      </c>
      <c r="L172" t="str">
        <f t="shared" si="50"/>
        <v>Clothing     SP:Alice2017102  $1657</v>
      </c>
      <c r="M172" t="str">
        <f t="shared" si="51"/>
        <v>Clothing     Alice2017102  $1657</v>
      </c>
      <c r="N172" t="str">
        <f t="shared" si="52"/>
        <v>Clothing Alice2017102 $1657</v>
      </c>
      <c r="O172" t="str">
        <f t="shared" si="53"/>
        <v>Clothing Alice 2017102 $1657</v>
      </c>
      <c r="P172">
        <f t="shared" si="54"/>
        <v>9</v>
      </c>
      <c r="Q172">
        <f t="shared" si="55"/>
        <v>15</v>
      </c>
      <c r="R172">
        <f t="shared" si="56"/>
        <v>23</v>
      </c>
      <c r="S172" t="str">
        <f t="shared" si="57"/>
        <v>Clothing</v>
      </c>
      <c r="T172" t="str">
        <f t="shared" si="58"/>
        <v>Alice</v>
      </c>
      <c r="U172" t="str">
        <f t="shared" si="59"/>
        <v>2017102</v>
      </c>
      <c r="V172" t="str">
        <f t="shared" si="60"/>
        <v>1657</v>
      </c>
      <c r="W172" s="4">
        <f t="shared" si="61"/>
        <v>43010</v>
      </c>
      <c r="X172" s="5">
        <f t="shared" si="62"/>
        <v>1657</v>
      </c>
    </row>
    <row r="173" spans="3:24" x14ac:dyDescent="0.35">
      <c r="C173" s="2">
        <f t="shared" si="42"/>
        <v>172</v>
      </c>
      <c r="D173" t="s">
        <v>171</v>
      </c>
      <c r="E173">
        <f t="shared" si="43"/>
        <v>30</v>
      </c>
      <c r="F173" t="str">
        <f t="shared" si="44"/>
        <v xml:space="preserve">/PR:Clothing___SP:Alice20171026    $1243    </v>
      </c>
      <c r="G173">
        <f t="shared" si="45"/>
        <v>32</v>
      </c>
      <c r="H173" t="str">
        <f t="shared" si="46"/>
        <v>/PR:Clothing___SP:Alice20171026    $1243</v>
      </c>
      <c r="I173">
        <f t="shared" si="47"/>
        <v>51</v>
      </c>
      <c r="J173" t="str">
        <f t="shared" si="48"/>
        <v>PR:Clothing___SP:Alice20171026    $1243</v>
      </c>
      <c r="K173" t="str">
        <f t="shared" si="49"/>
        <v>PR:Clothing   SP:Alice20171026    $1243</v>
      </c>
      <c r="L173" t="str">
        <f t="shared" si="50"/>
        <v>Clothing   SP:Alice20171026    $1243</v>
      </c>
      <c r="M173" t="str">
        <f t="shared" si="51"/>
        <v>Clothing   Alice20171026    $1243</v>
      </c>
      <c r="N173" t="str">
        <f t="shared" si="52"/>
        <v>Clothing Alice20171026 $1243</v>
      </c>
      <c r="O173" t="str">
        <f t="shared" si="53"/>
        <v>Clothing Alice 20171026 $1243</v>
      </c>
      <c r="P173">
        <f t="shared" si="54"/>
        <v>9</v>
      </c>
      <c r="Q173">
        <f t="shared" si="55"/>
        <v>15</v>
      </c>
      <c r="R173">
        <f t="shared" si="56"/>
        <v>24</v>
      </c>
      <c r="S173" t="str">
        <f t="shared" si="57"/>
        <v>Clothing</v>
      </c>
      <c r="T173" t="str">
        <f t="shared" si="58"/>
        <v>Alice</v>
      </c>
      <c r="U173" t="str">
        <f t="shared" si="59"/>
        <v>20171026</v>
      </c>
      <c r="V173" t="str">
        <f t="shared" si="60"/>
        <v>1243</v>
      </c>
      <c r="W173" s="4">
        <f t="shared" si="61"/>
        <v>43034</v>
      </c>
      <c r="X173" s="5">
        <f t="shared" si="62"/>
        <v>1243</v>
      </c>
    </row>
    <row r="174" spans="3:24" x14ac:dyDescent="0.35">
      <c r="C174" s="2">
        <f t="shared" si="42"/>
        <v>173</v>
      </c>
      <c r="D174" t="s">
        <v>172</v>
      </c>
      <c r="E174">
        <f t="shared" si="43"/>
        <v>28</v>
      </c>
      <c r="F174" t="str">
        <f t="shared" si="44"/>
        <v xml:space="preserve">/PR:Clothing____SP:Barney2017103 $0  </v>
      </c>
      <c r="G174">
        <f t="shared" si="45"/>
        <v>32</v>
      </c>
      <c r="H174" t="str">
        <f t="shared" si="46"/>
        <v>/PR:Clothing____SP:Barney2017103 $0</v>
      </c>
      <c r="I174">
        <f t="shared" si="47"/>
        <v>48</v>
      </c>
      <c r="J174" t="str">
        <f t="shared" si="48"/>
        <v>PR:Clothing____SP:Barney2017103 $0</v>
      </c>
      <c r="K174" t="str">
        <f t="shared" si="49"/>
        <v>PR:Clothing    SP:Barney2017103 $0</v>
      </c>
      <c r="L174" t="str">
        <f t="shared" si="50"/>
        <v>Clothing    SP:Barney2017103 $0</v>
      </c>
      <c r="M174" t="str">
        <f t="shared" si="51"/>
        <v>Clothing    Barney2017103 $0</v>
      </c>
      <c r="N174" t="str">
        <f t="shared" si="52"/>
        <v>Clothing Barney2017103 $0</v>
      </c>
      <c r="O174" t="str">
        <f t="shared" si="53"/>
        <v>Clothing Barney 2017103 $0</v>
      </c>
      <c r="P174">
        <f t="shared" si="54"/>
        <v>9</v>
      </c>
      <c r="Q174">
        <f t="shared" si="55"/>
        <v>16</v>
      </c>
      <c r="R174">
        <f t="shared" si="56"/>
        <v>24</v>
      </c>
      <c r="S174" t="str">
        <f t="shared" si="57"/>
        <v>Clothing</v>
      </c>
      <c r="T174" t="str">
        <f t="shared" si="58"/>
        <v>Barney</v>
      </c>
      <c r="U174" t="str">
        <f t="shared" si="59"/>
        <v>2017103</v>
      </c>
      <c r="V174" t="str">
        <f t="shared" si="60"/>
        <v>0</v>
      </c>
      <c r="W174" s="4">
        <f t="shared" si="61"/>
        <v>43011</v>
      </c>
      <c r="X174" s="5">
        <f t="shared" si="62"/>
        <v>0</v>
      </c>
    </row>
    <row r="175" spans="3:24" x14ac:dyDescent="0.35">
      <c r="C175" s="2">
        <f t="shared" si="42"/>
        <v>174</v>
      </c>
      <c r="D175" t="s">
        <v>173</v>
      </c>
      <c r="E175">
        <f t="shared" si="43"/>
        <v>29</v>
      </c>
      <c r="F175" t="str">
        <f t="shared" si="44"/>
        <v xml:space="preserve">////PR:Games____SP:Carol20171022     $1616   </v>
      </c>
      <c r="G175">
        <f t="shared" si="45"/>
        <v>32</v>
      </c>
      <c r="H175" t="str">
        <f t="shared" si="46"/>
        <v>////PR:Games____SP:Carol20171022     $1616</v>
      </c>
      <c r="I175">
        <f t="shared" si="47"/>
        <v>54</v>
      </c>
      <c r="J175" t="str">
        <f t="shared" si="48"/>
        <v>PR:Games____SP:Carol20171022     $1616</v>
      </c>
      <c r="K175" t="str">
        <f t="shared" si="49"/>
        <v>PR:Games    SP:Carol20171022     $1616</v>
      </c>
      <c r="L175" t="str">
        <f t="shared" si="50"/>
        <v>Games    SP:Carol20171022     $1616</v>
      </c>
      <c r="M175" t="str">
        <f t="shared" si="51"/>
        <v>Games    Carol20171022     $1616</v>
      </c>
      <c r="N175" t="str">
        <f t="shared" si="52"/>
        <v>Games Carol20171022 $1616</v>
      </c>
      <c r="O175" t="str">
        <f t="shared" si="53"/>
        <v>Games Carol 20171022 $1616</v>
      </c>
      <c r="P175">
        <f t="shared" si="54"/>
        <v>6</v>
      </c>
      <c r="Q175">
        <f t="shared" si="55"/>
        <v>12</v>
      </c>
      <c r="R175">
        <f t="shared" si="56"/>
        <v>21</v>
      </c>
      <c r="S175" t="str">
        <f t="shared" si="57"/>
        <v>Games</v>
      </c>
      <c r="T175" t="str">
        <f t="shared" si="58"/>
        <v>Carol</v>
      </c>
      <c r="U175" t="str">
        <f t="shared" si="59"/>
        <v>20171022</v>
      </c>
      <c r="V175" t="str">
        <f t="shared" si="60"/>
        <v>1616</v>
      </c>
      <c r="W175" s="4">
        <f t="shared" si="61"/>
        <v>43030</v>
      </c>
      <c r="X175" s="5">
        <f t="shared" si="62"/>
        <v>1616</v>
      </c>
    </row>
    <row r="176" spans="3:24" x14ac:dyDescent="0.35">
      <c r="C176" s="2">
        <f t="shared" si="42"/>
        <v>175</v>
      </c>
      <c r="D176" t="s">
        <v>174</v>
      </c>
      <c r="E176">
        <f t="shared" si="43"/>
        <v>28</v>
      </c>
      <c r="F176" t="str">
        <f t="shared" si="44"/>
        <v xml:space="preserve">/PR:Music_____SP:David2017105 $1136   </v>
      </c>
      <c r="G176">
        <f t="shared" si="45"/>
        <v>32</v>
      </c>
      <c r="H176" t="str">
        <f t="shared" si="46"/>
        <v>/PR:Music_____SP:David2017105 $1136</v>
      </c>
      <c r="I176">
        <f t="shared" si="47"/>
        <v>54</v>
      </c>
      <c r="J176" t="str">
        <f t="shared" si="48"/>
        <v>PR:Music_____SP:David2017105 $1136</v>
      </c>
      <c r="K176" t="str">
        <f t="shared" si="49"/>
        <v>PR:Music     SP:David2017105 $1136</v>
      </c>
      <c r="L176" t="str">
        <f t="shared" si="50"/>
        <v>Music     SP:David2017105 $1136</v>
      </c>
      <c r="M176" t="str">
        <f t="shared" si="51"/>
        <v>Music     David2017105 $1136</v>
      </c>
      <c r="N176" t="str">
        <f t="shared" si="52"/>
        <v>Music David2017105 $1136</v>
      </c>
      <c r="O176" t="str">
        <f t="shared" si="53"/>
        <v>Music David 2017105 $1136</v>
      </c>
      <c r="P176">
        <f t="shared" si="54"/>
        <v>6</v>
      </c>
      <c r="Q176">
        <f t="shared" si="55"/>
        <v>12</v>
      </c>
      <c r="R176">
        <f t="shared" si="56"/>
        <v>20</v>
      </c>
      <c r="S176" t="str">
        <f t="shared" si="57"/>
        <v>Music</v>
      </c>
      <c r="T176" t="str">
        <f t="shared" si="58"/>
        <v>David</v>
      </c>
      <c r="U176" t="str">
        <f t="shared" si="59"/>
        <v>2017105</v>
      </c>
      <c r="V176" t="str">
        <f t="shared" si="60"/>
        <v>1136</v>
      </c>
      <c r="W176" s="4">
        <f t="shared" si="61"/>
        <v>43013</v>
      </c>
      <c r="X176" s="5">
        <f t="shared" si="62"/>
        <v>1136</v>
      </c>
    </row>
    <row r="177" spans="3:24" x14ac:dyDescent="0.35">
      <c r="C177" s="2">
        <f t="shared" si="42"/>
        <v>176</v>
      </c>
      <c r="D177" t="s">
        <v>175</v>
      </c>
      <c r="E177">
        <f t="shared" si="43"/>
        <v>31</v>
      </c>
      <c r="F177" t="str">
        <f t="shared" si="44"/>
        <v xml:space="preserve">///PR:Clothing__SP:Alice20171014  $1671  </v>
      </c>
      <c r="G177">
        <f t="shared" si="45"/>
        <v>32</v>
      </c>
      <c r="H177" t="str">
        <f t="shared" si="46"/>
        <v>///PR:Clothing__SP:Alice20171014  $1671</v>
      </c>
      <c r="I177">
        <f t="shared" si="47"/>
        <v>49</v>
      </c>
      <c r="J177" t="str">
        <f t="shared" si="48"/>
        <v>PR:Clothing__SP:Alice20171014  $1671</v>
      </c>
      <c r="K177" t="str">
        <f t="shared" si="49"/>
        <v>PR:Clothing  SP:Alice20171014  $1671</v>
      </c>
      <c r="L177" t="str">
        <f t="shared" si="50"/>
        <v>Clothing  SP:Alice20171014  $1671</v>
      </c>
      <c r="M177" t="str">
        <f t="shared" si="51"/>
        <v>Clothing  Alice20171014  $1671</v>
      </c>
      <c r="N177" t="str">
        <f t="shared" si="52"/>
        <v>Clothing Alice20171014 $1671</v>
      </c>
      <c r="O177" t="str">
        <f t="shared" si="53"/>
        <v>Clothing Alice 20171014 $1671</v>
      </c>
      <c r="P177">
        <f t="shared" si="54"/>
        <v>9</v>
      </c>
      <c r="Q177">
        <f t="shared" si="55"/>
        <v>15</v>
      </c>
      <c r="R177">
        <f t="shared" si="56"/>
        <v>24</v>
      </c>
      <c r="S177" t="str">
        <f t="shared" si="57"/>
        <v>Clothing</v>
      </c>
      <c r="T177" t="str">
        <f t="shared" si="58"/>
        <v>Alice</v>
      </c>
      <c r="U177" t="str">
        <f t="shared" si="59"/>
        <v>20171014</v>
      </c>
      <c r="V177" t="str">
        <f t="shared" si="60"/>
        <v>1671</v>
      </c>
      <c r="W177" s="4">
        <f t="shared" si="61"/>
        <v>43022</v>
      </c>
      <c r="X177" s="5">
        <f t="shared" si="62"/>
        <v>1671</v>
      </c>
    </row>
    <row r="178" spans="3:24" x14ac:dyDescent="0.35">
      <c r="C178" s="2">
        <f t="shared" si="42"/>
        <v>177</v>
      </c>
      <c r="D178" t="s">
        <v>176</v>
      </c>
      <c r="E178">
        <f t="shared" si="43"/>
        <v>29</v>
      </c>
      <c r="F178" t="str">
        <f t="shared" si="44"/>
        <v xml:space="preserve">/////PR:Books___SP:Alice2017109    $640   </v>
      </c>
      <c r="G178">
        <f t="shared" si="45"/>
        <v>32</v>
      </c>
      <c r="H178" t="str">
        <f t="shared" si="46"/>
        <v>/////PR:Books___SP:Alice2017109    $640</v>
      </c>
      <c r="I178">
        <f t="shared" si="47"/>
        <v>48</v>
      </c>
      <c r="J178" t="str">
        <f t="shared" si="48"/>
        <v>PR:Books___SP:Alice2017109    $640</v>
      </c>
      <c r="K178" t="str">
        <f t="shared" si="49"/>
        <v>PR:Books   SP:Alice2017109    $640</v>
      </c>
      <c r="L178" t="str">
        <f t="shared" si="50"/>
        <v>Books   SP:Alice2017109    $640</v>
      </c>
      <c r="M178" t="str">
        <f t="shared" si="51"/>
        <v>Books   Alice2017109    $640</v>
      </c>
      <c r="N178" t="str">
        <f t="shared" si="52"/>
        <v>Books Alice2017109 $640</v>
      </c>
      <c r="O178" t="str">
        <f t="shared" si="53"/>
        <v>Books Alice 2017109 $640</v>
      </c>
      <c r="P178">
        <f t="shared" si="54"/>
        <v>6</v>
      </c>
      <c r="Q178">
        <f t="shared" si="55"/>
        <v>12</v>
      </c>
      <c r="R178">
        <f t="shared" si="56"/>
        <v>20</v>
      </c>
      <c r="S178" t="str">
        <f t="shared" si="57"/>
        <v>Books</v>
      </c>
      <c r="T178" t="str">
        <f t="shared" si="58"/>
        <v>Alice</v>
      </c>
      <c r="U178" t="str">
        <f t="shared" si="59"/>
        <v>2017109</v>
      </c>
      <c r="V178" t="str">
        <f t="shared" si="60"/>
        <v>640</v>
      </c>
      <c r="W178" s="4">
        <f t="shared" si="61"/>
        <v>43017</v>
      </c>
      <c r="X178" s="5">
        <f t="shared" si="62"/>
        <v>640</v>
      </c>
    </row>
    <row r="179" spans="3:24" x14ac:dyDescent="0.35">
      <c r="C179" s="2">
        <f t="shared" si="42"/>
        <v>178</v>
      </c>
      <c r="D179" t="s">
        <v>177</v>
      </c>
      <c r="E179">
        <f t="shared" si="43"/>
        <v>31</v>
      </c>
      <c r="F179" t="str">
        <f t="shared" si="44"/>
        <v xml:space="preserve">//PR:Music___SP:Carol20171022 $952    </v>
      </c>
      <c r="G179">
        <f t="shared" si="45"/>
        <v>32</v>
      </c>
      <c r="H179" t="str">
        <f t="shared" si="46"/>
        <v>//PR:Music___SP:Carol20171022 $952</v>
      </c>
      <c r="I179">
        <f t="shared" si="47"/>
        <v>50</v>
      </c>
      <c r="J179" t="str">
        <f t="shared" si="48"/>
        <v>PR:Music___SP:Carol20171022 $952</v>
      </c>
      <c r="K179" t="str">
        <f t="shared" si="49"/>
        <v>PR:Music   SP:Carol20171022 $952</v>
      </c>
      <c r="L179" t="str">
        <f t="shared" si="50"/>
        <v>Music   SP:Carol20171022 $952</v>
      </c>
      <c r="M179" t="str">
        <f t="shared" si="51"/>
        <v>Music   Carol20171022 $952</v>
      </c>
      <c r="N179" t="str">
        <f t="shared" si="52"/>
        <v>Music Carol20171022 $952</v>
      </c>
      <c r="O179" t="str">
        <f t="shared" si="53"/>
        <v>Music Carol 20171022 $952</v>
      </c>
      <c r="P179">
        <f t="shared" si="54"/>
        <v>6</v>
      </c>
      <c r="Q179">
        <f t="shared" si="55"/>
        <v>12</v>
      </c>
      <c r="R179">
        <f t="shared" si="56"/>
        <v>21</v>
      </c>
      <c r="S179" t="str">
        <f t="shared" si="57"/>
        <v>Music</v>
      </c>
      <c r="T179" t="str">
        <f t="shared" si="58"/>
        <v>Carol</v>
      </c>
      <c r="U179" t="str">
        <f t="shared" si="59"/>
        <v>20171022</v>
      </c>
      <c r="V179" t="str">
        <f t="shared" si="60"/>
        <v>952</v>
      </c>
      <c r="W179" s="4">
        <f t="shared" si="61"/>
        <v>43030</v>
      </c>
      <c r="X179" s="5">
        <f t="shared" si="62"/>
        <v>952</v>
      </c>
    </row>
    <row r="180" spans="3:24" x14ac:dyDescent="0.35">
      <c r="C180" s="2">
        <f t="shared" si="42"/>
        <v>179</v>
      </c>
      <c r="D180" t="s">
        <v>178</v>
      </c>
      <c r="E180">
        <f t="shared" si="43"/>
        <v>28</v>
      </c>
      <c r="F180" t="str">
        <f t="shared" si="44"/>
        <v xml:space="preserve">/////PR:Games____SP:Barney20171011   $1198    </v>
      </c>
      <c r="G180">
        <f t="shared" si="45"/>
        <v>32</v>
      </c>
      <c r="H180" t="str">
        <f t="shared" si="46"/>
        <v>/////PR:Games____SP:Barney20171011   $1198</v>
      </c>
      <c r="I180">
        <f t="shared" si="47"/>
        <v>56</v>
      </c>
      <c r="J180" t="str">
        <f t="shared" si="48"/>
        <v>PR:Games____SP:Barney20171011   $1198</v>
      </c>
      <c r="K180" t="str">
        <f t="shared" si="49"/>
        <v>PR:Games    SP:Barney20171011   $1198</v>
      </c>
      <c r="L180" t="str">
        <f t="shared" si="50"/>
        <v>Games    SP:Barney20171011   $1198</v>
      </c>
      <c r="M180" t="str">
        <f t="shared" si="51"/>
        <v>Games    Barney20171011   $1198</v>
      </c>
      <c r="N180" t="str">
        <f t="shared" si="52"/>
        <v>Games Barney20171011 $1198</v>
      </c>
      <c r="O180" t="str">
        <f t="shared" si="53"/>
        <v>Games Barney 20171011 $1198</v>
      </c>
      <c r="P180">
        <f t="shared" si="54"/>
        <v>6</v>
      </c>
      <c r="Q180">
        <f t="shared" si="55"/>
        <v>13</v>
      </c>
      <c r="R180">
        <f t="shared" si="56"/>
        <v>22</v>
      </c>
      <c r="S180" t="str">
        <f t="shared" si="57"/>
        <v>Games</v>
      </c>
      <c r="T180" t="str">
        <f t="shared" si="58"/>
        <v>Barney</v>
      </c>
      <c r="U180" t="str">
        <f t="shared" si="59"/>
        <v>20171011</v>
      </c>
      <c r="V180" t="str">
        <f t="shared" si="60"/>
        <v>1198</v>
      </c>
      <c r="W180" s="4">
        <f t="shared" si="61"/>
        <v>43019</v>
      </c>
      <c r="X180" s="5">
        <f t="shared" si="62"/>
        <v>1198</v>
      </c>
    </row>
    <row r="181" spans="3:24" x14ac:dyDescent="0.35">
      <c r="C181" s="2">
        <f t="shared" si="42"/>
        <v>180</v>
      </c>
      <c r="D181" t="s">
        <v>179</v>
      </c>
      <c r="E181">
        <f t="shared" si="43"/>
        <v>28</v>
      </c>
      <c r="F181" t="str">
        <f t="shared" si="44"/>
        <v xml:space="preserve">////PR:Music__SP:Barney20171015   $1291  </v>
      </c>
      <c r="G181">
        <f t="shared" si="45"/>
        <v>32</v>
      </c>
      <c r="H181" t="str">
        <f t="shared" si="46"/>
        <v>////PR:Music__SP:Barney20171015   $1291</v>
      </c>
      <c r="I181">
        <f t="shared" si="47"/>
        <v>49</v>
      </c>
      <c r="J181" t="str">
        <f t="shared" si="48"/>
        <v>PR:Music__SP:Barney20171015   $1291</v>
      </c>
      <c r="K181" t="str">
        <f t="shared" si="49"/>
        <v>PR:Music  SP:Barney20171015   $1291</v>
      </c>
      <c r="L181" t="str">
        <f t="shared" si="50"/>
        <v>Music  SP:Barney20171015   $1291</v>
      </c>
      <c r="M181" t="str">
        <f t="shared" si="51"/>
        <v>Music  Barney20171015   $1291</v>
      </c>
      <c r="N181" t="str">
        <f t="shared" si="52"/>
        <v>Music Barney20171015 $1291</v>
      </c>
      <c r="O181" t="str">
        <f t="shared" si="53"/>
        <v>Music Barney 20171015 $1291</v>
      </c>
      <c r="P181">
        <f t="shared" si="54"/>
        <v>6</v>
      </c>
      <c r="Q181">
        <f t="shared" si="55"/>
        <v>13</v>
      </c>
      <c r="R181">
        <f t="shared" si="56"/>
        <v>22</v>
      </c>
      <c r="S181" t="str">
        <f t="shared" si="57"/>
        <v>Music</v>
      </c>
      <c r="T181" t="str">
        <f t="shared" si="58"/>
        <v>Barney</v>
      </c>
      <c r="U181" t="str">
        <f t="shared" si="59"/>
        <v>20171015</v>
      </c>
      <c r="V181" t="str">
        <f t="shared" si="60"/>
        <v>1291</v>
      </c>
      <c r="W181" s="4">
        <f t="shared" si="61"/>
        <v>43023</v>
      </c>
      <c r="X181" s="5">
        <f t="shared" si="62"/>
        <v>1291</v>
      </c>
    </row>
    <row r="182" spans="3:24" x14ac:dyDescent="0.35">
      <c r="C182" s="2">
        <f t="shared" si="42"/>
        <v>181</v>
      </c>
      <c r="D182" t="s">
        <v>180</v>
      </c>
      <c r="E182">
        <f t="shared" si="43"/>
        <v>31</v>
      </c>
      <c r="F182" t="str">
        <f t="shared" si="44"/>
        <v xml:space="preserve">///PR:Games___SP:Carol20171021     $1037 </v>
      </c>
      <c r="G182">
        <f t="shared" si="45"/>
        <v>32</v>
      </c>
      <c r="H182" t="str">
        <f t="shared" si="46"/>
        <v>///PR:Games___SP:Carol20171021     $1037</v>
      </c>
      <c r="I182">
        <f t="shared" si="47"/>
        <v>55</v>
      </c>
      <c r="J182" t="str">
        <f t="shared" si="48"/>
        <v>PR:Games___SP:Carol20171021     $1037</v>
      </c>
      <c r="K182" t="str">
        <f t="shared" si="49"/>
        <v>PR:Games   SP:Carol20171021     $1037</v>
      </c>
      <c r="L182" t="str">
        <f t="shared" si="50"/>
        <v>Games   SP:Carol20171021     $1037</v>
      </c>
      <c r="M182" t="str">
        <f t="shared" si="51"/>
        <v>Games   Carol20171021     $1037</v>
      </c>
      <c r="N182" t="str">
        <f t="shared" si="52"/>
        <v>Games Carol20171021 $1037</v>
      </c>
      <c r="O182" t="str">
        <f t="shared" si="53"/>
        <v>Games Carol 20171021 $1037</v>
      </c>
      <c r="P182">
        <f t="shared" si="54"/>
        <v>6</v>
      </c>
      <c r="Q182">
        <f t="shared" si="55"/>
        <v>12</v>
      </c>
      <c r="R182">
        <f t="shared" si="56"/>
        <v>21</v>
      </c>
      <c r="S182" t="str">
        <f t="shared" si="57"/>
        <v>Games</v>
      </c>
      <c r="T182" t="str">
        <f t="shared" si="58"/>
        <v>Carol</v>
      </c>
      <c r="U182" t="str">
        <f t="shared" si="59"/>
        <v>20171021</v>
      </c>
      <c r="V182" t="str">
        <f t="shared" si="60"/>
        <v>1037</v>
      </c>
      <c r="W182" s="4">
        <f t="shared" si="61"/>
        <v>43029</v>
      </c>
      <c r="X182" s="5">
        <f t="shared" si="62"/>
        <v>1037</v>
      </c>
    </row>
    <row r="183" spans="3:24" x14ac:dyDescent="0.35">
      <c r="C183" s="2">
        <f t="shared" si="42"/>
        <v>182</v>
      </c>
      <c r="D183" t="s">
        <v>181</v>
      </c>
      <c r="E183">
        <f t="shared" si="43"/>
        <v>28</v>
      </c>
      <c r="F183" t="str">
        <f t="shared" si="44"/>
        <v xml:space="preserve">///PR:Clothing_____SP:Barney20171027  $1105    </v>
      </c>
      <c r="G183">
        <f t="shared" si="45"/>
        <v>32</v>
      </c>
      <c r="H183" t="str">
        <f t="shared" si="46"/>
        <v>///PR:Clothing_____SP:Barney20171027  $1105</v>
      </c>
      <c r="I183">
        <f t="shared" si="47"/>
        <v>53</v>
      </c>
      <c r="J183" t="str">
        <f t="shared" si="48"/>
        <v>PR:Clothing_____SP:Barney20171027  $1105</v>
      </c>
      <c r="K183" t="str">
        <f t="shared" si="49"/>
        <v>PR:Clothing     SP:Barney20171027  $1105</v>
      </c>
      <c r="L183" t="str">
        <f t="shared" si="50"/>
        <v>Clothing     SP:Barney20171027  $1105</v>
      </c>
      <c r="M183" t="str">
        <f t="shared" si="51"/>
        <v>Clothing     Barney20171027  $1105</v>
      </c>
      <c r="N183" t="str">
        <f t="shared" si="52"/>
        <v>Clothing Barney20171027 $1105</v>
      </c>
      <c r="O183" t="str">
        <f t="shared" si="53"/>
        <v>Clothing Barney 20171027 $1105</v>
      </c>
      <c r="P183">
        <f t="shared" si="54"/>
        <v>9</v>
      </c>
      <c r="Q183">
        <f t="shared" si="55"/>
        <v>16</v>
      </c>
      <c r="R183">
        <f t="shared" si="56"/>
        <v>25</v>
      </c>
      <c r="S183" t="str">
        <f t="shared" si="57"/>
        <v>Clothing</v>
      </c>
      <c r="T183" t="str">
        <f t="shared" si="58"/>
        <v>Barney</v>
      </c>
      <c r="U183" t="str">
        <f t="shared" si="59"/>
        <v>20171027</v>
      </c>
      <c r="V183" t="str">
        <f t="shared" si="60"/>
        <v>1105</v>
      </c>
      <c r="W183" s="4">
        <f t="shared" si="61"/>
        <v>43035</v>
      </c>
      <c r="X183" s="5">
        <f t="shared" si="62"/>
        <v>1105</v>
      </c>
    </row>
    <row r="184" spans="3:24" x14ac:dyDescent="0.35">
      <c r="C184" s="2">
        <f t="shared" si="42"/>
        <v>183</v>
      </c>
      <c r="D184" t="s">
        <v>182</v>
      </c>
      <c r="E184">
        <f t="shared" si="43"/>
        <v>28</v>
      </c>
      <c r="F184" t="str">
        <f t="shared" si="44"/>
        <v xml:space="preserve">///PR:Books_SP:Carol20171024     $767     </v>
      </c>
      <c r="G184">
        <f t="shared" si="45"/>
        <v>32</v>
      </c>
      <c r="H184" t="str">
        <f t="shared" si="46"/>
        <v>///PR:Books_SP:Carol20171024     $767</v>
      </c>
      <c r="I184">
        <f t="shared" si="47"/>
        <v>55</v>
      </c>
      <c r="J184" t="str">
        <f t="shared" si="48"/>
        <v>PR:Books_SP:Carol20171024     $767</v>
      </c>
      <c r="K184" t="str">
        <f t="shared" si="49"/>
        <v>PR:Books SP:Carol20171024     $767</v>
      </c>
      <c r="L184" t="str">
        <f t="shared" si="50"/>
        <v>Books SP:Carol20171024     $767</v>
      </c>
      <c r="M184" t="str">
        <f t="shared" si="51"/>
        <v>Books Carol20171024     $767</v>
      </c>
      <c r="N184" t="str">
        <f t="shared" si="52"/>
        <v>Books Carol20171024 $767</v>
      </c>
      <c r="O184" t="str">
        <f t="shared" si="53"/>
        <v>Books Carol 20171024 $767</v>
      </c>
      <c r="P184">
        <f t="shared" si="54"/>
        <v>6</v>
      </c>
      <c r="Q184">
        <f t="shared" si="55"/>
        <v>12</v>
      </c>
      <c r="R184">
        <f t="shared" si="56"/>
        <v>21</v>
      </c>
      <c r="S184" t="str">
        <f t="shared" si="57"/>
        <v>Books</v>
      </c>
      <c r="T184" t="str">
        <f t="shared" si="58"/>
        <v>Carol</v>
      </c>
      <c r="U184" t="str">
        <f t="shared" si="59"/>
        <v>20171024</v>
      </c>
      <c r="V184" t="str">
        <f t="shared" si="60"/>
        <v>767</v>
      </c>
      <c r="W184" s="4">
        <f t="shared" si="61"/>
        <v>43032</v>
      </c>
      <c r="X184" s="5">
        <f t="shared" si="62"/>
        <v>767</v>
      </c>
    </row>
    <row r="185" spans="3:24" x14ac:dyDescent="0.35">
      <c r="C185" s="2">
        <f t="shared" si="42"/>
        <v>184</v>
      </c>
      <c r="D185" t="s">
        <v>183</v>
      </c>
      <c r="E185">
        <f t="shared" si="43"/>
        <v>29</v>
      </c>
      <c r="F185" t="str">
        <f t="shared" si="44"/>
        <v xml:space="preserve">////PR:Clothing____SP:Alice2017103    $1121     </v>
      </c>
      <c r="G185">
        <f t="shared" si="45"/>
        <v>32</v>
      </c>
      <c r="H185" t="str">
        <f t="shared" si="46"/>
        <v>////PR:Clothing____SP:Alice2017103    $1121</v>
      </c>
      <c r="I185">
        <f t="shared" si="47"/>
        <v>49</v>
      </c>
      <c r="J185" t="str">
        <f t="shared" si="48"/>
        <v>PR:Clothing____SP:Alice2017103    $1121</v>
      </c>
      <c r="K185" t="str">
        <f t="shared" si="49"/>
        <v>PR:Clothing    SP:Alice2017103    $1121</v>
      </c>
      <c r="L185" t="str">
        <f t="shared" si="50"/>
        <v>Clothing    SP:Alice2017103    $1121</v>
      </c>
      <c r="M185" t="str">
        <f t="shared" si="51"/>
        <v>Clothing    Alice2017103    $1121</v>
      </c>
      <c r="N185" t="str">
        <f t="shared" si="52"/>
        <v>Clothing Alice2017103 $1121</v>
      </c>
      <c r="O185" t="str">
        <f t="shared" si="53"/>
        <v>Clothing Alice 2017103 $1121</v>
      </c>
      <c r="P185">
        <f t="shared" si="54"/>
        <v>9</v>
      </c>
      <c r="Q185">
        <f t="shared" si="55"/>
        <v>15</v>
      </c>
      <c r="R185">
        <f t="shared" si="56"/>
        <v>23</v>
      </c>
      <c r="S185" t="str">
        <f t="shared" si="57"/>
        <v>Clothing</v>
      </c>
      <c r="T185" t="str">
        <f t="shared" si="58"/>
        <v>Alice</v>
      </c>
      <c r="U185" t="str">
        <f t="shared" si="59"/>
        <v>2017103</v>
      </c>
      <c r="V185" t="str">
        <f t="shared" si="60"/>
        <v>1121</v>
      </c>
      <c r="W185" s="4">
        <f t="shared" si="61"/>
        <v>43011</v>
      </c>
      <c r="X185" s="5">
        <f t="shared" si="62"/>
        <v>1121</v>
      </c>
    </row>
    <row r="186" spans="3:24" x14ac:dyDescent="0.35">
      <c r="C186" s="2">
        <f t="shared" si="42"/>
        <v>185</v>
      </c>
      <c r="D186" t="s">
        <v>184</v>
      </c>
      <c r="E186">
        <f t="shared" si="43"/>
        <v>28</v>
      </c>
      <c r="F186" t="str">
        <f t="shared" si="44"/>
        <v xml:space="preserve">//PR:Music_SP:Barney20171012  $914  </v>
      </c>
      <c r="G186">
        <f t="shared" si="45"/>
        <v>32</v>
      </c>
      <c r="H186" t="str">
        <f t="shared" si="46"/>
        <v>//PR:Music_SP:Barney20171012  $914</v>
      </c>
      <c r="I186">
        <f t="shared" si="47"/>
        <v>52</v>
      </c>
      <c r="J186" t="str">
        <f t="shared" si="48"/>
        <v>PR:Music_SP:Barney20171012  $914</v>
      </c>
      <c r="K186" t="str">
        <f t="shared" si="49"/>
        <v>PR:Music SP:Barney20171012  $914</v>
      </c>
      <c r="L186" t="str">
        <f t="shared" si="50"/>
        <v>Music SP:Barney20171012  $914</v>
      </c>
      <c r="M186" t="str">
        <f t="shared" si="51"/>
        <v>Music Barney20171012  $914</v>
      </c>
      <c r="N186" t="str">
        <f t="shared" si="52"/>
        <v>Music Barney20171012 $914</v>
      </c>
      <c r="O186" t="str">
        <f t="shared" si="53"/>
        <v>Music Barney 20171012 $914</v>
      </c>
      <c r="P186">
        <f t="shared" si="54"/>
        <v>6</v>
      </c>
      <c r="Q186">
        <f t="shared" si="55"/>
        <v>13</v>
      </c>
      <c r="R186">
        <f t="shared" si="56"/>
        <v>22</v>
      </c>
      <c r="S186" t="str">
        <f t="shared" si="57"/>
        <v>Music</v>
      </c>
      <c r="T186" t="str">
        <f t="shared" si="58"/>
        <v>Barney</v>
      </c>
      <c r="U186" t="str">
        <f t="shared" si="59"/>
        <v>20171012</v>
      </c>
      <c r="V186" t="str">
        <f t="shared" si="60"/>
        <v>914</v>
      </c>
      <c r="W186" s="4">
        <f t="shared" si="61"/>
        <v>43020</v>
      </c>
      <c r="X186" s="5">
        <f t="shared" si="62"/>
        <v>914</v>
      </c>
    </row>
    <row r="187" spans="3:24" x14ac:dyDescent="0.35">
      <c r="C187" s="2">
        <f t="shared" si="42"/>
        <v>186</v>
      </c>
      <c r="D187" t="s">
        <v>185</v>
      </c>
      <c r="E187">
        <f t="shared" si="43"/>
        <v>29</v>
      </c>
      <c r="F187" t="str">
        <f t="shared" si="44"/>
        <v xml:space="preserve">///PR:Clothing_____SP:David2017108   $1631  </v>
      </c>
      <c r="G187">
        <f t="shared" si="45"/>
        <v>32</v>
      </c>
      <c r="H187" t="str">
        <f t="shared" si="46"/>
        <v>///PR:Clothing_____SP:David2017108   $1631</v>
      </c>
      <c r="I187">
        <f t="shared" si="47"/>
        <v>49</v>
      </c>
      <c r="J187" t="str">
        <f t="shared" si="48"/>
        <v>PR:Clothing_____SP:David2017108   $1631</v>
      </c>
      <c r="K187" t="str">
        <f t="shared" si="49"/>
        <v>PR:Clothing     SP:David2017108   $1631</v>
      </c>
      <c r="L187" t="str">
        <f t="shared" si="50"/>
        <v>Clothing     SP:David2017108   $1631</v>
      </c>
      <c r="M187" t="str">
        <f t="shared" si="51"/>
        <v>Clothing     David2017108   $1631</v>
      </c>
      <c r="N187" t="str">
        <f t="shared" si="52"/>
        <v>Clothing David2017108 $1631</v>
      </c>
      <c r="O187" t="str">
        <f t="shared" si="53"/>
        <v>Clothing David 2017108 $1631</v>
      </c>
      <c r="P187">
        <f t="shared" si="54"/>
        <v>9</v>
      </c>
      <c r="Q187">
        <f t="shared" si="55"/>
        <v>15</v>
      </c>
      <c r="R187">
        <f t="shared" si="56"/>
        <v>23</v>
      </c>
      <c r="S187" t="str">
        <f t="shared" si="57"/>
        <v>Clothing</v>
      </c>
      <c r="T187" t="str">
        <f t="shared" si="58"/>
        <v>David</v>
      </c>
      <c r="U187" t="str">
        <f t="shared" si="59"/>
        <v>2017108</v>
      </c>
      <c r="V187" t="str">
        <f t="shared" si="60"/>
        <v>1631</v>
      </c>
      <c r="W187" s="4">
        <f t="shared" si="61"/>
        <v>43016</v>
      </c>
      <c r="X187" s="5">
        <f t="shared" si="62"/>
        <v>1631</v>
      </c>
    </row>
    <row r="188" spans="3:24" x14ac:dyDescent="0.35">
      <c r="C188" s="2">
        <f t="shared" si="42"/>
        <v>187</v>
      </c>
      <c r="D188" t="s">
        <v>186</v>
      </c>
      <c r="E188">
        <f t="shared" si="43"/>
        <v>31</v>
      </c>
      <c r="F188" t="str">
        <f t="shared" si="44"/>
        <v xml:space="preserve">////PR:Games_SP:Barney2017104 $0  </v>
      </c>
      <c r="G188">
        <f t="shared" si="45"/>
        <v>32</v>
      </c>
      <c r="H188" t="str">
        <f t="shared" si="46"/>
        <v>////PR:Games_SP:Barney2017104 $0</v>
      </c>
      <c r="I188">
        <f t="shared" si="47"/>
        <v>48</v>
      </c>
      <c r="J188" t="str">
        <f t="shared" si="48"/>
        <v>PR:Games_SP:Barney2017104 $0</v>
      </c>
      <c r="K188" t="str">
        <f t="shared" si="49"/>
        <v>PR:Games SP:Barney2017104 $0</v>
      </c>
      <c r="L188" t="str">
        <f t="shared" si="50"/>
        <v>Games SP:Barney2017104 $0</v>
      </c>
      <c r="M188" t="str">
        <f t="shared" si="51"/>
        <v>Games Barney2017104 $0</v>
      </c>
      <c r="N188" t="str">
        <f t="shared" si="52"/>
        <v>Games Barney2017104 $0</v>
      </c>
      <c r="O188" t="str">
        <f t="shared" si="53"/>
        <v>Games Barney 2017104 $0</v>
      </c>
      <c r="P188">
        <f t="shared" si="54"/>
        <v>6</v>
      </c>
      <c r="Q188">
        <f t="shared" si="55"/>
        <v>13</v>
      </c>
      <c r="R188">
        <f t="shared" si="56"/>
        <v>21</v>
      </c>
      <c r="S188" t="str">
        <f t="shared" si="57"/>
        <v>Games</v>
      </c>
      <c r="T188" t="str">
        <f t="shared" si="58"/>
        <v>Barney</v>
      </c>
      <c r="U188" t="str">
        <f t="shared" si="59"/>
        <v>2017104</v>
      </c>
      <c r="V188" t="str">
        <f t="shared" si="60"/>
        <v>0</v>
      </c>
      <c r="W188" s="4">
        <f t="shared" si="61"/>
        <v>43012</v>
      </c>
      <c r="X188" s="5">
        <f t="shared" si="62"/>
        <v>0</v>
      </c>
    </row>
    <row r="189" spans="3:24" x14ac:dyDescent="0.35">
      <c r="C189" s="2">
        <f t="shared" si="42"/>
        <v>188</v>
      </c>
      <c r="D189" t="s">
        <v>187</v>
      </c>
      <c r="E189">
        <f t="shared" si="43"/>
        <v>29</v>
      </c>
      <c r="F189" t="str">
        <f t="shared" si="44"/>
        <v xml:space="preserve">////PR:Games__SP:David20171021     $1916   </v>
      </c>
      <c r="G189">
        <f t="shared" si="45"/>
        <v>32</v>
      </c>
      <c r="H189" t="str">
        <f t="shared" si="46"/>
        <v>////PR:Games__SP:David20171021     $1916</v>
      </c>
      <c r="I189">
        <f t="shared" si="47"/>
        <v>54</v>
      </c>
      <c r="J189" t="str">
        <f t="shared" si="48"/>
        <v>PR:Games__SP:David20171021     $1916</v>
      </c>
      <c r="K189" t="str">
        <f t="shared" si="49"/>
        <v>PR:Games  SP:David20171021     $1916</v>
      </c>
      <c r="L189" t="str">
        <f t="shared" si="50"/>
        <v>Games  SP:David20171021     $1916</v>
      </c>
      <c r="M189" t="str">
        <f t="shared" si="51"/>
        <v>Games  David20171021     $1916</v>
      </c>
      <c r="N189" t="str">
        <f t="shared" si="52"/>
        <v>Games David20171021 $1916</v>
      </c>
      <c r="O189" t="str">
        <f t="shared" si="53"/>
        <v>Games David 20171021 $1916</v>
      </c>
      <c r="P189">
        <f t="shared" si="54"/>
        <v>6</v>
      </c>
      <c r="Q189">
        <f t="shared" si="55"/>
        <v>12</v>
      </c>
      <c r="R189">
        <f t="shared" si="56"/>
        <v>21</v>
      </c>
      <c r="S189" t="str">
        <f t="shared" si="57"/>
        <v>Games</v>
      </c>
      <c r="T189" t="str">
        <f t="shared" si="58"/>
        <v>David</v>
      </c>
      <c r="U189" t="str">
        <f t="shared" si="59"/>
        <v>20171021</v>
      </c>
      <c r="V189" t="str">
        <f t="shared" si="60"/>
        <v>1916</v>
      </c>
      <c r="W189" s="4">
        <f t="shared" si="61"/>
        <v>43029</v>
      </c>
      <c r="X189" s="5">
        <f t="shared" si="62"/>
        <v>1916</v>
      </c>
    </row>
    <row r="190" spans="3:24" x14ac:dyDescent="0.35">
      <c r="C190" s="2">
        <f t="shared" si="42"/>
        <v>189</v>
      </c>
      <c r="D190" t="s">
        <v>188</v>
      </c>
      <c r="E190">
        <f t="shared" si="43"/>
        <v>31</v>
      </c>
      <c r="F190" t="str">
        <f t="shared" si="44"/>
        <v xml:space="preserve">/PR:Games_SP:Alice2017106   $2406 </v>
      </c>
      <c r="G190">
        <f t="shared" si="45"/>
        <v>32</v>
      </c>
      <c r="H190" t="str">
        <f t="shared" si="46"/>
        <v>/PR:Games_SP:Alice2017106   $2406</v>
      </c>
      <c r="I190">
        <f t="shared" si="47"/>
        <v>54</v>
      </c>
      <c r="J190" t="str">
        <f t="shared" si="48"/>
        <v>PR:Games_SP:Alice2017106   $2406</v>
      </c>
      <c r="K190" t="str">
        <f t="shared" si="49"/>
        <v>PR:Games SP:Alice2017106   $2406</v>
      </c>
      <c r="L190" t="str">
        <f t="shared" si="50"/>
        <v>Games SP:Alice2017106   $2406</v>
      </c>
      <c r="M190" t="str">
        <f t="shared" si="51"/>
        <v>Games Alice2017106   $2406</v>
      </c>
      <c r="N190" t="str">
        <f t="shared" si="52"/>
        <v>Games Alice2017106 $2406</v>
      </c>
      <c r="O190" t="str">
        <f t="shared" si="53"/>
        <v>Games Alice 2017106 $2406</v>
      </c>
      <c r="P190">
        <f t="shared" si="54"/>
        <v>6</v>
      </c>
      <c r="Q190">
        <f t="shared" si="55"/>
        <v>12</v>
      </c>
      <c r="R190">
        <f t="shared" si="56"/>
        <v>20</v>
      </c>
      <c r="S190" t="str">
        <f t="shared" si="57"/>
        <v>Games</v>
      </c>
      <c r="T190" t="str">
        <f t="shared" si="58"/>
        <v>Alice</v>
      </c>
      <c r="U190" t="str">
        <f t="shared" si="59"/>
        <v>2017106</v>
      </c>
      <c r="V190" t="str">
        <f t="shared" si="60"/>
        <v>2406</v>
      </c>
      <c r="W190" s="4">
        <f t="shared" si="61"/>
        <v>43014</v>
      </c>
      <c r="X190" s="5">
        <f t="shared" si="62"/>
        <v>2406</v>
      </c>
    </row>
    <row r="191" spans="3:24" x14ac:dyDescent="0.35">
      <c r="C191" s="2">
        <f t="shared" si="42"/>
        <v>190</v>
      </c>
      <c r="D191" t="s">
        <v>189</v>
      </c>
      <c r="E191">
        <f t="shared" si="43"/>
        <v>29</v>
      </c>
      <c r="F191" t="str">
        <f t="shared" si="44"/>
        <v xml:space="preserve">/////PR:Games____SP:Carol20171012    $1878   </v>
      </c>
      <c r="G191">
        <f t="shared" si="45"/>
        <v>32</v>
      </c>
      <c r="H191" t="str">
        <f t="shared" si="46"/>
        <v>/////PR:Games____SP:Carol20171012    $1878</v>
      </c>
      <c r="I191">
        <f t="shared" si="47"/>
        <v>56</v>
      </c>
      <c r="J191" t="str">
        <f t="shared" si="48"/>
        <v>PR:Games____SP:Carol20171012    $1878</v>
      </c>
      <c r="K191" t="str">
        <f t="shared" si="49"/>
        <v>PR:Games    SP:Carol20171012    $1878</v>
      </c>
      <c r="L191" t="str">
        <f t="shared" si="50"/>
        <v>Games    SP:Carol20171012    $1878</v>
      </c>
      <c r="M191" t="str">
        <f t="shared" si="51"/>
        <v>Games    Carol20171012    $1878</v>
      </c>
      <c r="N191" t="str">
        <f t="shared" si="52"/>
        <v>Games Carol20171012 $1878</v>
      </c>
      <c r="O191" t="str">
        <f t="shared" si="53"/>
        <v>Games Carol 20171012 $1878</v>
      </c>
      <c r="P191">
        <f t="shared" si="54"/>
        <v>6</v>
      </c>
      <c r="Q191">
        <f t="shared" si="55"/>
        <v>12</v>
      </c>
      <c r="R191">
        <f t="shared" si="56"/>
        <v>21</v>
      </c>
      <c r="S191" t="str">
        <f t="shared" si="57"/>
        <v>Games</v>
      </c>
      <c r="T191" t="str">
        <f t="shared" si="58"/>
        <v>Carol</v>
      </c>
      <c r="U191" t="str">
        <f t="shared" si="59"/>
        <v>20171012</v>
      </c>
      <c r="V191" t="str">
        <f t="shared" si="60"/>
        <v>1878</v>
      </c>
      <c r="W191" s="4">
        <f t="shared" si="61"/>
        <v>43020</v>
      </c>
      <c r="X191" s="5">
        <f t="shared" si="62"/>
        <v>1878</v>
      </c>
    </row>
    <row r="192" spans="3:24" x14ac:dyDescent="0.35">
      <c r="C192" s="2">
        <f t="shared" si="42"/>
        <v>191</v>
      </c>
      <c r="D192" t="s">
        <v>190</v>
      </c>
      <c r="E192">
        <f t="shared" si="43"/>
        <v>29</v>
      </c>
      <c r="F192" t="str">
        <f t="shared" si="44"/>
        <v xml:space="preserve">////PR:Games____SP:David20171019 $0     </v>
      </c>
      <c r="G192">
        <f t="shared" si="45"/>
        <v>32</v>
      </c>
      <c r="H192" t="str">
        <f t="shared" si="46"/>
        <v>////PR:Games____SP:David20171019 $0</v>
      </c>
      <c r="I192">
        <f t="shared" si="47"/>
        <v>48</v>
      </c>
      <c r="J192" t="str">
        <f t="shared" si="48"/>
        <v>PR:Games____SP:David20171019 $0</v>
      </c>
      <c r="K192" t="str">
        <f t="shared" si="49"/>
        <v>PR:Games    SP:David20171019 $0</v>
      </c>
      <c r="L192" t="str">
        <f t="shared" si="50"/>
        <v>Games    SP:David20171019 $0</v>
      </c>
      <c r="M192" t="str">
        <f t="shared" si="51"/>
        <v>Games    David20171019 $0</v>
      </c>
      <c r="N192" t="str">
        <f t="shared" si="52"/>
        <v>Games David20171019 $0</v>
      </c>
      <c r="O192" t="str">
        <f t="shared" si="53"/>
        <v>Games David 20171019 $0</v>
      </c>
      <c r="P192">
        <f t="shared" si="54"/>
        <v>6</v>
      </c>
      <c r="Q192">
        <f t="shared" si="55"/>
        <v>12</v>
      </c>
      <c r="R192">
        <f t="shared" si="56"/>
        <v>21</v>
      </c>
      <c r="S192" t="str">
        <f t="shared" si="57"/>
        <v>Games</v>
      </c>
      <c r="T192" t="str">
        <f t="shared" si="58"/>
        <v>David</v>
      </c>
      <c r="U192" t="str">
        <f t="shared" si="59"/>
        <v>20171019</v>
      </c>
      <c r="V192" t="str">
        <f t="shared" si="60"/>
        <v>0</v>
      </c>
      <c r="W192" s="4">
        <f t="shared" si="61"/>
        <v>43027</v>
      </c>
      <c r="X192" s="5">
        <f t="shared" si="62"/>
        <v>0</v>
      </c>
    </row>
    <row r="193" spans="3:24" x14ac:dyDescent="0.35">
      <c r="C193" s="2">
        <f t="shared" si="42"/>
        <v>192</v>
      </c>
      <c r="D193" t="s">
        <v>191</v>
      </c>
      <c r="E193">
        <f t="shared" si="43"/>
        <v>29</v>
      </c>
      <c r="F193" t="str">
        <f t="shared" si="44"/>
        <v xml:space="preserve">/////PR:Music__SP:Carol20171015    $1360   </v>
      </c>
      <c r="G193">
        <f t="shared" si="45"/>
        <v>32</v>
      </c>
      <c r="H193" t="str">
        <f t="shared" si="46"/>
        <v>/////PR:Music__SP:Carol20171015    $1360</v>
      </c>
      <c r="I193">
        <f t="shared" si="47"/>
        <v>48</v>
      </c>
      <c r="J193" t="str">
        <f t="shared" si="48"/>
        <v>PR:Music__SP:Carol20171015    $1360</v>
      </c>
      <c r="K193" t="str">
        <f t="shared" si="49"/>
        <v>PR:Music  SP:Carol20171015    $1360</v>
      </c>
      <c r="L193" t="str">
        <f t="shared" si="50"/>
        <v>Music  SP:Carol20171015    $1360</v>
      </c>
      <c r="M193" t="str">
        <f t="shared" si="51"/>
        <v>Music  Carol20171015    $1360</v>
      </c>
      <c r="N193" t="str">
        <f t="shared" si="52"/>
        <v>Music Carol20171015 $1360</v>
      </c>
      <c r="O193" t="str">
        <f t="shared" si="53"/>
        <v>Music Carol 20171015 $1360</v>
      </c>
      <c r="P193">
        <f t="shared" si="54"/>
        <v>6</v>
      </c>
      <c r="Q193">
        <f t="shared" si="55"/>
        <v>12</v>
      </c>
      <c r="R193">
        <f t="shared" si="56"/>
        <v>21</v>
      </c>
      <c r="S193" t="str">
        <f t="shared" si="57"/>
        <v>Music</v>
      </c>
      <c r="T193" t="str">
        <f t="shared" si="58"/>
        <v>Carol</v>
      </c>
      <c r="U193" t="str">
        <f t="shared" si="59"/>
        <v>20171015</v>
      </c>
      <c r="V193" t="str">
        <f t="shared" si="60"/>
        <v>1360</v>
      </c>
      <c r="W193" s="4">
        <f t="shared" si="61"/>
        <v>43023</v>
      </c>
      <c r="X193" s="5">
        <f t="shared" si="62"/>
        <v>1360</v>
      </c>
    </row>
    <row r="194" spans="3:24" x14ac:dyDescent="0.35">
      <c r="C194" s="2">
        <f t="shared" si="42"/>
        <v>193</v>
      </c>
      <c r="D194" t="s">
        <v>192</v>
      </c>
      <c r="E194">
        <f t="shared" si="43"/>
        <v>28</v>
      </c>
      <c r="F194" t="str">
        <f t="shared" si="44"/>
        <v xml:space="preserve">/PR:Music____SP:Carol20171014     $0  </v>
      </c>
      <c r="G194">
        <f t="shared" si="45"/>
        <v>32</v>
      </c>
      <c r="H194" t="str">
        <f t="shared" si="46"/>
        <v>/PR:Music____SP:Carol20171014     $0</v>
      </c>
      <c r="I194">
        <f t="shared" si="47"/>
        <v>48</v>
      </c>
      <c r="J194" t="str">
        <f t="shared" si="48"/>
        <v>PR:Music____SP:Carol20171014     $0</v>
      </c>
      <c r="K194" t="str">
        <f t="shared" si="49"/>
        <v>PR:Music    SP:Carol20171014     $0</v>
      </c>
      <c r="L194" t="str">
        <f t="shared" si="50"/>
        <v>Music    SP:Carol20171014     $0</v>
      </c>
      <c r="M194" t="str">
        <f t="shared" si="51"/>
        <v>Music    Carol20171014     $0</v>
      </c>
      <c r="N194" t="str">
        <f t="shared" si="52"/>
        <v>Music Carol20171014 $0</v>
      </c>
      <c r="O194" t="str">
        <f t="shared" si="53"/>
        <v>Music Carol 20171014 $0</v>
      </c>
      <c r="P194">
        <f t="shared" si="54"/>
        <v>6</v>
      </c>
      <c r="Q194">
        <f t="shared" si="55"/>
        <v>12</v>
      </c>
      <c r="R194">
        <f t="shared" si="56"/>
        <v>21</v>
      </c>
      <c r="S194" t="str">
        <f t="shared" si="57"/>
        <v>Music</v>
      </c>
      <c r="T194" t="str">
        <f t="shared" si="58"/>
        <v>Carol</v>
      </c>
      <c r="U194" t="str">
        <f t="shared" si="59"/>
        <v>20171014</v>
      </c>
      <c r="V194" t="str">
        <f t="shared" si="60"/>
        <v>0</v>
      </c>
      <c r="W194" s="4">
        <f t="shared" si="61"/>
        <v>43022</v>
      </c>
      <c r="X194" s="5">
        <f t="shared" si="62"/>
        <v>0</v>
      </c>
    </row>
    <row r="195" spans="3:24" x14ac:dyDescent="0.35">
      <c r="C195" s="2">
        <f t="shared" ref="C195:C258" si="63">C194+1</f>
        <v>194</v>
      </c>
      <c r="D195" t="s">
        <v>193</v>
      </c>
      <c r="E195">
        <f t="shared" ref="E195:E258" si="64">CODE(RIGHT(D195,1))</f>
        <v>30</v>
      </c>
      <c r="F195" t="str">
        <f t="shared" ref="F195:F258" si="65">CLEAN(D195)</f>
        <v xml:space="preserve">//PR:Books_____SP:Barney2017105   $844   </v>
      </c>
      <c r="G195">
        <f t="shared" ref="G195:G258" si="66">CODE(RIGHT(F195,1))</f>
        <v>32</v>
      </c>
      <c r="H195" t="str">
        <f t="shared" ref="H195:H258" si="67">TRIM(F195)</f>
        <v>//PR:Books_____SP:Barney2017105   $844</v>
      </c>
      <c r="I195">
        <f t="shared" ref="I195:I258" si="68">CODE(RIGHT(H195,1))</f>
        <v>52</v>
      </c>
      <c r="J195" t="str">
        <f t="shared" ref="J195:J258" si="69">SUBSTITUTE(H195,"/","")</f>
        <v>PR:Books_____SP:Barney2017105   $844</v>
      </c>
      <c r="K195" t="str">
        <f t="shared" ref="K195:K258" si="70">SUBSTITUTE(J195,"_"," ")</f>
        <v>PR:Books     SP:Barney2017105   $844</v>
      </c>
      <c r="L195" t="str">
        <f t="shared" ref="L195:L258" si="71">SUBSTITUTE(K195,"PR:","")</f>
        <v>Books     SP:Barney2017105   $844</v>
      </c>
      <c r="M195" t="str">
        <f t="shared" ref="M195:M258" si="72">SUBSTITUTE(L195,"SP:","")</f>
        <v>Books     Barney2017105   $844</v>
      </c>
      <c r="N195" t="str">
        <f t="shared" ref="N195:N258" si="73">TRIM(SUBSTITUTE(M195,CHAR(160)," "))</f>
        <v>Books Barney2017105 $844</v>
      </c>
      <c r="O195" t="str">
        <f t="shared" ref="O195:O258" si="74">SUBSTITUTE(N195,"2017"," 2017")</f>
        <v>Books Barney 2017105 $844</v>
      </c>
      <c r="P195">
        <f t="shared" ref="P195:P258" si="75">SEARCH(" ",O195,1)</f>
        <v>6</v>
      </c>
      <c r="Q195">
        <f t="shared" ref="Q195:Q258" si="76">SEARCH(" ",O195,P195+1)</f>
        <v>13</v>
      </c>
      <c r="R195">
        <f t="shared" ref="R195:R258" si="77">SEARCH(" ",O195,Q195+1)</f>
        <v>21</v>
      </c>
      <c r="S195" t="str">
        <f t="shared" ref="S195:S258" si="78">LEFT(O195,P195-1)</f>
        <v>Books</v>
      </c>
      <c r="T195" t="str">
        <f t="shared" ref="T195:T258" si="79">MID(O195,P195+1,Q195-P195-1)</f>
        <v>Barney</v>
      </c>
      <c r="U195" t="str">
        <f t="shared" ref="U195:U258" si="80">MID(O195,Q195+1,R195-Q195-1)</f>
        <v>2017105</v>
      </c>
      <c r="V195" t="str">
        <f t="shared" ref="V195:V258" si="81">MID(O195,R195+2,99)</f>
        <v>844</v>
      </c>
      <c r="W195" s="4">
        <f t="shared" ref="W195:W258" si="82">DATE(2017,10,MID(U195,7,2))</f>
        <v>43013</v>
      </c>
      <c r="X195" s="5">
        <f t="shared" ref="X195:X258" si="83">VALUE(V195)</f>
        <v>844</v>
      </c>
    </row>
    <row r="196" spans="3:24" x14ac:dyDescent="0.35">
      <c r="C196" s="2">
        <f t="shared" si="63"/>
        <v>195</v>
      </c>
      <c r="D196" t="s">
        <v>194</v>
      </c>
      <c r="E196">
        <f t="shared" si="64"/>
        <v>28</v>
      </c>
      <c r="F196" t="str">
        <f t="shared" si="65"/>
        <v xml:space="preserve">/////PR:Clothing__SP:David20171020  $1172     </v>
      </c>
      <c r="G196">
        <f t="shared" si="66"/>
        <v>32</v>
      </c>
      <c r="H196" t="str">
        <f t="shared" si="67"/>
        <v>/////PR:Clothing__SP:David20171020  $1172</v>
      </c>
      <c r="I196">
        <f t="shared" si="68"/>
        <v>50</v>
      </c>
      <c r="J196" t="str">
        <f t="shared" si="69"/>
        <v>PR:Clothing__SP:David20171020  $1172</v>
      </c>
      <c r="K196" t="str">
        <f t="shared" si="70"/>
        <v>PR:Clothing  SP:David20171020  $1172</v>
      </c>
      <c r="L196" t="str">
        <f t="shared" si="71"/>
        <v>Clothing  SP:David20171020  $1172</v>
      </c>
      <c r="M196" t="str">
        <f t="shared" si="72"/>
        <v>Clothing  David20171020  $1172</v>
      </c>
      <c r="N196" t="str">
        <f t="shared" si="73"/>
        <v>Clothing David20171020 $1172</v>
      </c>
      <c r="O196" t="str">
        <f t="shared" si="74"/>
        <v>Clothing David 20171020 $1172</v>
      </c>
      <c r="P196">
        <f t="shared" si="75"/>
        <v>9</v>
      </c>
      <c r="Q196">
        <f t="shared" si="76"/>
        <v>15</v>
      </c>
      <c r="R196">
        <f t="shared" si="77"/>
        <v>24</v>
      </c>
      <c r="S196" t="str">
        <f t="shared" si="78"/>
        <v>Clothing</v>
      </c>
      <c r="T196" t="str">
        <f t="shared" si="79"/>
        <v>David</v>
      </c>
      <c r="U196" t="str">
        <f t="shared" si="80"/>
        <v>20171020</v>
      </c>
      <c r="V196" t="str">
        <f t="shared" si="81"/>
        <v>1172</v>
      </c>
      <c r="W196" s="4">
        <f t="shared" si="82"/>
        <v>43028</v>
      </c>
      <c r="X196" s="5">
        <f t="shared" si="83"/>
        <v>1172</v>
      </c>
    </row>
    <row r="197" spans="3:24" x14ac:dyDescent="0.35">
      <c r="C197" s="2">
        <f t="shared" si="63"/>
        <v>196</v>
      </c>
      <c r="D197" t="s">
        <v>195</v>
      </c>
      <c r="E197">
        <f t="shared" si="64"/>
        <v>29</v>
      </c>
      <c r="F197" t="str">
        <f t="shared" si="65"/>
        <v xml:space="preserve">///PR:Books____SP:Alice20171030 $0    </v>
      </c>
      <c r="G197">
        <f t="shared" si="66"/>
        <v>32</v>
      </c>
      <c r="H197" t="str">
        <f t="shared" si="67"/>
        <v>///PR:Books____SP:Alice20171030 $0</v>
      </c>
      <c r="I197">
        <f t="shared" si="68"/>
        <v>48</v>
      </c>
      <c r="J197" t="str">
        <f t="shared" si="69"/>
        <v>PR:Books____SP:Alice20171030 $0</v>
      </c>
      <c r="K197" t="str">
        <f t="shared" si="70"/>
        <v>PR:Books    SP:Alice20171030 $0</v>
      </c>
      <c r="L197" t="str">
        <f t="shared" si="71"/>
        <v>Books    SP:Alice20171030 $0</v>
      </c>
      <c r="M197" t="str">
        <f t="shared" si="72"/>
        <v>Books    Alice20171030 $0</v>
      </c>
      <c r="N197" t="str">
        <f t="shared" si="73"/>
        <v>Books Alice20171030 $0</v>
      </c>
      <c r="O197" t="str">
        <f t="shared" si="74"/>
        <v>Books Alice 20171030 $0</v>
      </c>
      <c r="P197">
        <f t="shared" si="75"/>
        <v>6</v>
      </c>
      <c r="Q197">
        <f t="shared" si="76"/>
        <v>12</v>
      </c>
      <c r="R197">
        <f t="shared" si="77"/>
        <v>21</v>
      </c>
      <c r="S197" t="str">
        <f t="shared" si="78"/>
        <v>Books</v>
      </c>
      <c r="T197" t="str">
        <f t="shared" si="79"/>
        <v>Alice</v>
      </c>
      <c r="U197" t="str">
        <f t="shared" si="80"/>
        <v>20171030</v>
      </c>
      <c r="V197" t="str">
        <f t="shared" si="81"/>
        <v>0</v>
      </c>
      <c r="W197" s="4">
        <f t="shared" si="82"/>
        <v>43038</v>
      </c>
      <c r="X197" s="5">
        <f t="shared" si="83"/>
        <v>0</v>
      </c>
    </row>
    <row r="198" spans="3:24" x14ac:dyDescent="0.35">
      <c r="C198" s="2">
        <f t="shared" si="63"/>
        <v>197</v>
      </c>
      <c r="D198" t="s">
        <v>196</v>
      </c>
      <c r="E198">
        <f t="shared" si="64"/>
        <v>30</v>
      </c>
      <c r="F198" t="str">
        <f t="shared" si="65"/>
        <v xml:space="preserve">/PR:Music___SP:Alice2017107    $924 </v>
      </c>
      <c r="G198">
        <f t="shared" si="66"/>
        <v>32</v>
      </c>
      <c r="H198" t="str">
        <f t="shared" si="67"/>
        <v>/PR:Music___SP:Alice2017107    $924</v>
      </c>
      <c r="I198">
        <f t="shared" si="68"/>
        <v>52</v>
      </c>
      <c r="J198" t="str">
        <f t="shared" si="69"/>
        <v>PR:Music___SP:Alice2017107    $924</v>
      </c>
      <c r="K198" t="str">
        <f t="shared" si="70"/>
        <v>PR:Music   SP:Alice2017107    $924</v>
      </c>
      <c r="L198" t="str">
        <f t="shared" si="71"/>
        <v>Music   SP:Alice2017107    $924</v>
      </c>
      <c r="M198" t="str">
        <f t="shared" si="72"/>
        <v>Music   Alice2017107    $924</v>
      </c>
      <c r="N198" t="str">
        <f t="shared" si="73"/>
        <v>Music Alice2017107 $924</v>
      </c>
      <c r="O198" t="str">
        <f t="shared" si="74"/>
        <v>Music Alice 2017107 $924</v>
      </c>
      <c r="P198">
        <f t="shared" si="75"/>
        <v>6</v>
      </c>
      <c r="Q198">
        <f t="shared" si="76"/>
        <v>12</v>
      </c>
      <c r="R198">
        <f t="shared" si="77"/>
        <v>20</v>
      </c>
      <c r="S198" t="str">
        <f t="shared" si="78"/>
        <v>Music</v>
      </c>
      <c r="T198" t="str">
        <f t="shared" si="79"/>
        <v>Alice</v>
      </c>
      <c r="U198" t="str">
        <f t="shared" si="80"/>
        <v>2017107</v>
      </c>
      <c r="V198" t="str">
        <f t="shared" si="81"/>
        <v>924</v>
      </c>
      <c r="W198" s="4">
        <f t="shared" si="82"/>
        <v>43015</v>
      </c>
      <c r="X198" s="5">
        <f t="shared" si="83"/>
        <v>924</v>
      </c>
    </row>
    <row r="199" spans="3:24" x14ac:dyDescent="0.35">
      <c r="C199" s="2">
        <f t="shared" si="63"/>
        <v>198</v>
      </c>
      <c r="D199" t="s">
        <v>197</v>
      </c>
      <c r="E199">
        <f t="shared" si="64"/>
        <v>30</v>
      </c>
      <c r="F199" t="str">
        <f t="shared" si="65"/>
        <v xml:space="preserve">/////PR:Games__SP:Barney2017102     $2368 </v>
      </c>
      <c r="G199">
        <f t="shared" si="66"/>
        <v>32</v>
      </c>
      <c r="H199" t="str">
        <f t="shared" si="67"/>
        <v>/////PR:Games__SP:Barney2017102     $2368</v>
      </c>
      <c r="I199">
        <f t="shared" si="68"/>
        <v>56</v>
      </c>
      <c r="J199" t="str">
        <f t="shared" si="69"/>
        <v>PR:Games__SP:Barney2017102     $2368</v>
      </c>
      <c r="K199" t="str">
        <f t="shared" si="70"/>
        <v>PR:Games  SP:Barney2017102     $2368</v>
      </c>
      <c r="L199" t="str">
        <f t="shared" si="71"/>
        <v>Games  SP:Barney2017102     $2368</v>
      </c>
      <c r="M199" t="str">
        <f t="shared" si="72"/>
        <v>Games  Barney2017102     $2368</v>
      </c>
      <c r="N199" t="str">
        <f t="shared" si="73"/>
        <v>Games Barney2017102 $2368</v>
      </c>
      <c r="O199" t="str">
        <f t="shared" si="74"/>
        <v>Games Barney 2017102 $2368</v>
      </c>
      <c r="P199">
        <f t="shared" si="75"/>
        <v>6</v>
      </c>
      <c r="Q199">
        <f t="shared" si="76"/>
        <v>13</v>
      </c>
      <c r="R199">
        <f t="shared" si="77"/>
        <v>21</v>
      </c>
      <c r="S199" t="str">
        <f t="shared" si="78"/>
        <v>Games</v>
      </c>
      <c r="T199" t="str">
        <f t="shared" si="79"/>
        <v>Barney</v>
      </c>
      <c r="U199" t="str">
        <f t="shared" si="80"/>
        <v>2017102</v>
      </c>
      <c r="V199" t="str">
        <f t="shared" si="81"/>
        <v>2368</v>
      </c>
      <c r="W199" s="4">
        <f t="shared" si="82"/>
        <v>43010</v>
      </c>
      <c r="X199" s="5">
        <f t="shared" si="83"/>
        <v>2368</v>
      </c>
    </row>
    <row r="200" spans="3:24" x14ac:dyDescent="0.35">
      <c r="C200" s="2">
        <f t="shared" si="63"/>
        <v>199</v>
      </c>
      <c r="D200" t="s">
        <v>198</v>
      </c>
      <c r="E200">
        <f t="shared" si="64"/>
        <v>30</v>
      </c>
      <c r="F200" t="str">
        <f t="shared" si="65"/>
        <v xml:space="preserve">////PR:Games____SP:Carol20171018 $1616    </v>
      </c>
      <c r="G200">
        <f t="shared" si="66"/>
        <v>32</v>
      </c>
      <c r="H200" t="str">
        <f t="shared" si="67"/>
        <v>////PR:Games____SP:Carol20171018 $1616</v>
      </c>
      <c r="I200">
        <f t="shared" si="68"/>
        <v>54</v>
      </c>
      <c r="J200" t="str">
        <f t="shared" si="69"/>
        <v>PR:Games____SP:Carol20171018 $1616</v>
      </c>
      <c r="K200" t="str">
        <f t="shared" si="70"/>
        <v>PR:Games    SP:Carol20171018 $1616</v>
      </c>
      <c r="L200" t="str">
        <f t="shared" si="71"/>
        <v>Games    SP:Carol20171018 $1616</v>
      </c>
      <c r="M200" t="str">
        <f t="shared" si="72"/>
        <v>Games    Carol20171018 $1616</v>
      </c>
      <c r="N200" t="str">
        <f t="shared" si="73"/>
        <v>Games Carol20171018 $1616</v>
      </c>
      <c r="O200" t="str">
        <f t="shared" si="74"/>
        <v>Games Carol 20171018 $1616</v>
      </c>
      <c r="P200">
        <f t="shared" si="75"/>
        <v>6</v>
      </c>
      <c r="Q200">
        <f t="shared" si="76"/>
        <v>12</v>
      </c>
      <c r="R200">
        <f t="shared" si="77"/>
        <v>21</v>
      </c>
      <c r="S200" t="str">
        <f t="shared" si="78"/>
        <v>Games</v>
      </c>
      <c r="T200" t="str">
        <f t="shared" si="79"/>
        <v>Carol</v>
      </c>
      <c r="U200" t="str">
        <f t="shared" si="80"/>
        <v>20171018</v>
      </c>
      <c r="V200" t="str">
        <f t="shared" si="81"/>
        <v>1616</v>
      </c>
      <c r="W200" s="4">
        <f t="shared" si="82"/>
        <v>43026</v>
      </c>
      <c r="X200" s="5">
        <f t="shared" si="83"/>
        <v>1616</v>
      </c>
    </row>
    <row r="201" spans="3:24" x14ac:dyDescent="0.35">
      <c r="C201" s="2">
        <f t="shared" si="63"/>
        <v>200</v>
      </c>
      <c r="D201" t="s">
        <v>199</v>
      </c>
      <c r="E201">
        <f t="shared" si="64"/>
        <v>29</v>
      </c>
      <c r="F201" t="str">
        <f t="shared" si="65"/>
        <v xml:space="preserve">//PR:Music_____SP:David20171012     $1445  </v>
      </c>
      <c r="G201">
        <f t="shared" si="66"/>
        <v>32</v>
      </c>
      <c r="H201" t="str">
        <f t="shared" si="67"/>
        <v>//PR:Music_____SP:David20171012     $1445</v>
      </c>
      <c r="I201">
        <f t="shared" si="68"/>
        <v>53</v>
      </c>
      <c r="J201" t="str">
        <f t="shared" si="69"/>
        <v>PR:Music_____SP:David20171012     $1445</v>
      </c>
      <c r="K201" t="str">
        <f t="shared" si="70"/>
        <v>PR:Music     SP:David20171012     $1445</v>
      </c>
      <c r="L201" t="str">
        <f t="shared" si="71"/>
        <v>Music     SP:David20171012     $1445</v>
      </c>
      <c r="M201" t="str">
        <f t="shared" si="72"/>
        <v>Music     David20171012     $1445</v>
      </c>
      <c r="N201" t="str">
        <f t="shared" si="73"/>
        <v>Music David20171012 $1445</v>
      </c>
      <c r="O201" t="str">
        <f t="shared" si="74"/>
        <v>Music David 20171012 $1445</v>
      </c>
      <c r="P201">
        <f t="shared" si="75"/>
        <v>6</v>
      </c>
      <c r="Q201">
        <f t="shared" si="76"/>
        <v>12</v>
      </c>
      <c r="R201">
        <f t="shared" si="77"/>
        <v>21</v>
      </c>
      <c r="S201" t="str">
        <f t="shared" si="78"/>
        <v>Music</v>
      </c>
      <c r="T201" t="str">
        <f t="shared" si="79"/>
        <v>David</v>
      </c>
      <c r="U201" t="str">
        <f t="shared" si="80"/>
        <v>20171012</v>
      </c>
      <c r="V201" t="str">
        <f t="shared" si="81"/>
        <v>1445</v>
      </c>
      <c r="W201" s="4">
        <f t="shared" si="82"/>
        <v>43020</v>
      </c>
      <c r="X201" s="5">
        <f t="shared" si="83"/>
        <v>1445</v>
      </c>
    </row>
    <row r="202" spans="3:24" x14ac:dyDescent="0.35">
      <c r="C202" s="2">
        <f t="shared" si="63"/>
        <v>201</v>
      </c>
      <c r="D202" t="s">
        <v>200</v>
      </c>
      <c r="E202">
        <f t="shared" si="64"/>
        <v>30</v>
      </c>
      <c r="F202" t="str">
        <f t="shared" si="65"/>
        <v xml:space="preserve">/PR:Music___SP:Carol20171030  $1133   </v>
      </c>
      <c r="G202">
        <f t="shared" si="66"/>
        <v>32</v>
      </c>
      <c r="H202" t="str">
        <f t="shared" si="67"/>
        <v>/PR:Music___SP:Carol20171030  $1133</v>
      </c>
      <c r="I202">
        <f t="shared" si="68"/>
        <v>51</v>
      </c>
      <c r="J202" t="str">
        <f t="shared" si="69"/>
        <v>PR:Music___SP:Carol20171030  $1133</v>
      </c>
      <c r="K202" t="str">
        <f t="shared" si="70"/>
        <v>PR:Music   SP:Carol20171030  $1133</v>
      </c>
      <c r="L202" t="str">
        <f t="shared" si="71"/>
        <v>Music   SP:Carol20171030  $1133</v>
      </c>
      <c r="M202" t="str">
        <f t="shared" si="72"/>
        <v>Music   Carol20171030  $1133</v>
      </c>
      <c r="N202" t="str">
        <f t="shared" si="73"/>
        <v>Music Carol20171030 $1133</v>
      </c>
      <c r="O202" t="str">
        <f t="shared" si="74"/>
        <v>Music Carol 20171030 $1133</v>
      </c>
      <c r="P202">
        <f t="shared" si="75"/>
        <v>6</v>
      </c>
      <c r="Q202">
        <f t="shared" si="76"/>
        <v>12</v>
      </c>
      <c r="R202">
        <f t="shared" si="77"/>
        <v>21</v>
      </c>
      <c r="S202" t="str">
        <f t="shared" si="78"/>
        <v>Music</v>
      </c>
      <c r="T202" t="str">
        <f t="shared" si="79"/>
        <v>Carol</v>
      </c>
      <c r="U202" t="str">
        <f t="shared" si="80"/>
        <v>20171030</v>
      </c>
      <c r="V202" t="str">
        <f t="shared" si="81"/>
        <v>1133</v>
      </c>
      <c r="W202" s="4">
        <f t="shared" si="82"/>
        <v>43038</v>
      </c>
      <c r="X202" s="5">
        <f t="shared" si="83"/>
        <v>1133</v>
      </c>
    </row>
    <row r="203" spans="3:24" x14ac:dyDescent="0.35">
      <c r="C203" s="2">
        <f t="shared" si="63"/>
        <v>202</v>
      </c>
      <c r="D203" t="s">
        <v>201</v>
      </c>
      <c r="E203">
        <f t="shared" si="64"/>
        <v>28</v>
      </c>
      <c r="F203" t="str">
        <f t="shared" si="65"/>
        <v xml:space="preserve">/////PR:Clothing___SP:Carol2017105     $0     </v>
      </c>
      <c r="G203">
        <f t="shared" si="66"/>
        <v>32</v>
      </c>
      <c r="H203" t="str">
        <f t="shared" si="67"/>
        <v>/////PR:Clothing___SP:Carol2017105     $0</v>
      </c>
      <c r="I203">
        <f t="shared" si="68"/>
        <v>48</v>
      </c>
      <c r="J203" t="str">
        <f t="shared" si="69"/>
        <v>PR:Clothing___SP:Carol2017105     $0</v>
      </c>
      <c r="K203" t="str">
        <f t="shared" si="70"/>
        <v>PR:Clothing   SP:Carol2017105     $0</v>
      </c>
      <c r="L203" t="str">
        <f t="shared" si="71"/>
        <v>Clothing   SP:Carol2017105     $0</v>
      </c>
      <c r="M203" t="str">
        <f t="shared" si="72"/>
        <v>Clothing   Carol2017105     $0</v>
      </c>
      <c r="N203" t="str">
        <f t="shared" si="73"/>
        <v>Clothing Carol2017105 $0</v>
      </c>
      <c r="O203" t="str">
        <f t="shared" si="74"/>
        <v>Clothing Carol 2017105 $0</v>
      </c>
      <c r="P203">
        <f t="shared" si="75"/>
        <v>9</v>
      </c>
      <c r="Q203">
        <f t="shared" si="76"/>
        <v>15</v>
      </c>
      <c r="R203">
        <f t="shared" si="77"/>
        <v>23</v>
      </c>
      <c r="S203" t="str">
        <f t="shared" si="78"/>
        <v>Clothing</v>
      </c>
      <c r="T203" t="str">
        <f t="shared" si="79"/>
        <v>Carol</v>
      </c>
      <c r="U203" t="str">
        <f t="shared" si="80"/>
        <v>2017105</v>
      </c>
      <c r="V203" t="str">
        <f t="shared" si="81"/>
        <v>0</v>
      </c>
      <c r="W203" s="4">
        <f t="shared" si="82"/>
        <v>43013</v>
      </c>
      <c r="X203" s="5">
        <f t="shared" si="83"/>
        <v>0</v>
      </c>
    </row>
    <row r="204" spans="3:24" x14ac:dyDescent="0.35">
      <c r="C204" s="2">
        <f t="shared" si="63"/>
        <v>203</v>
      </c>
      <c r="D204" t="s">
        <v>202</v>
      </c>
      <c r="E204">
        <f t="shared" si="64"/>
        <v>31</v>
      </c>
      <c r="F204" t="str">
        <f t="shared" si="65"/>
        <v xml:space="preserve">///PR:Clothing__SP:Alice20171031     $874 </v>
      </c>
      <c r="G204">
        <f t="shared" si="66"/>
        <v>32</v>
      </c>
      <c r="H204" t="str">
        <f t="shared" si="67"/>
        <v>///PR:Clothing__SP:Alice20171031     $874</v>
      </c>
      <c r="I204">
        <f t="shared" si="68"/>
        <v>52</v>
      </c>
      <c r="J204" t="str">
        <f t="shared" si="69"/>
        <v>PR:Clothing__SP:Alice20171031     $874</v>
      </c>
      <c r="K204" t="str">
        <f t="shared" si="70"/>
        <v>PR:Clothing  SP:Alice20171031     $874</v>
      </c>
      <c r="L204" t="str">
        <f t="shared" si="71"/>
        <v>Clothing  SP:Alice20171031     $874</v>
      </c>
      <c r="M204" t="str">
        <f t="shared" si="72"/>
        <v>Clothing  Alice20171031     $874</v>
      </c>
      <c r="N204" t="str">
        <f t="shared" si="73"/>
        <v>Clothing Alice20171031 $874</v>
      </c>
      <c r="O204" t="str">
        <f t="shared" si="74"/>
        <v>Clothing Alice 20171031 $874</v>
      </c>
      <c r="P204">
        <f t="shared" si="75"/>
        <v>9</v>
      </c>
      <c r="Q204">
        <f t="shared" si="76"/>
        <v>15</v>
      </c>
      <c r="R204">
        <f t="shared" si="77"/>
        <v>24</v>
      </c>
      <c r="S204" t="str">
        <f t="shared" si="78"/>
        <v>Clothing</v>
      </c>
      <c r="T204" t="str">
        <f t="shared" si="79"/>
        <v>Alice</v>
      </c>
      <c r="U204" t="str">
        <f t="shared" si="80"/>
        <v>20171031</v>
      </c>
      <c r="V204" t="str">
        <f t="shared" si="81"/>
        <v>874</v>
      </c>
      <c r="W204" s="4">
        <f t="shared" si="82"/>
        <v>43039</v>
      </c>
      <c r="X204" s="5">
        <f t="shared" si="83"/>
        <v>874</v>
      </c>
    </row>
    <row r="205" spans="3:24" x14ac:dyDescent="0.35">
      <c r="C205" s="2">
        <f t="shared" si="63"/>
        <v>204</v>
      </c>
      <c r="D205" t="s">
        <v>203</v>
      </c>
      <c r="E205">
        <f t="shared" si="64"/>
        <v>31</v>
      </c>
      <c r="F205" t="str">
        <f t="shared" si="65"/>
        <v xml:space="preserve">//PR:Music___SP:Carol2017108     $1003   </v>
      </c>
      <c r="G205">
        <f t="shared" si="66"/>
        <v>32</v>
      </c>
      <c r="H205" t="str">
        <f t="shared" si="67"/>
        <v>//PR:Music___SP:Carol2017108     $1003</v>
      </c>
      <c r="I205">
        <f t="shared" si="68"/>
        <v>51</v>
      </c>
      <c r="J205" t="str">
        <f t="shared" si="69"/>
        <v>PR:Music___SP:Carol2017108     $1003</v>
      </c>
      <c r="K205" t="str">
        <f t="shared" si="70"/>
        <v>PR:Music   SP:Carol2017108     $1003</v>
      </c>
      <c r="L205" t="str">
        <f t="shared" si="71"/>
        <v>Music   SP:Carol2017108     $1003</v>
      </c>
      <c r="M205" t="str">
        <f t="shared" si="72"/>
        <v>Music   Carol2017108     $1003</v>
      </c>
      <c r="N205" t="str">
        <f t="shared" si="73"/>
        <v>Music Carol2017108 $1003</v>
      </c>
      <c r="O205" t="str">
        <f t="shared" si="74"/>
        <v>Music Carol 2017108 $1003</v>
      </c>
      <c r="P205">
        <f t="shared" si="75"/>
        <v>6</v>
      </c>
      <c r="Q205">
        <f t="shared" si="76"/>
        <v>12</v>
      </c>
      <c r="R205">
        <f t="shared" si="77"/>
        <v>20</v>
      </c>
      <c r="S205" t="str">
        <f t="shared" si="78"/>
        <v>Music</v>
      </c>
      <c r="T205" t="str">
        <f t="shared" si="79"/>
        <v>Carol</v>
      </c>
      <c r="U205" t="str">
        <f t="shared" si="80"/>
        <v>2017108</v>
      </c>
      <c r="V205" t="str">
        <f t="shared" si="81"/>
        <v>1003</v>
      </c>
      <c r="W205" s="4">
        <f t="shared" si="82"/>
        <v>43016</v>
      </c>
      <c r="X205" s="5">
        <f t="shared" si="83"/>
        <v>1003</v>
      </c>
    </row>
    <row r="206" spans="3:24" x14ac:dyDescent="0.35">
      <c r="C206" s="2">
        <f t="shared" si="63"/>
        <v>205</v>
      </c>
      <c r="D206" t="s">
        <v>204</v>
      </c>
      <c r="E206">
        <f t="shared" si="64"/>
        <v>30</v>
      </c>
      <c r="F206" t="str">
        <f t="shared" si="65"/>
        <v xml:space="preserve">///PR:Books__SP:David20171012     $688  </v>
      </c>
      <c r="G206">
        <f t="shared" si="66"/>
        <v>32</v>
      </c>
      <c r="H206" t="str">
        <f t="shared" si="67"/>
        <v>///PR:Books__SP:David20171012     $688</v>
      </c>
      <c r="I206">
        <f t="shared" si="68"/>
        <v>56</v>
      </c>
      <c r="J206" t="str">
        <f t="shared" si="69"/>
        <v>PR:Books__SP:David20171012     $688</v>
      </c>
      <c r="K206" t="str">
        <f t="shared" si="70"/>
        <v>PR:Books  SP:David20171012     $688</v>
      </c>
      <c r="L206" t="str">
        <f t="shared" si="71"/>
        <v>Books  SP:David20171012     $688</v>
      </c>
      <c r="M206" t="str">
        <f t="shared" si="72"/>
        <v>Books  David20171012     $688</v>
      </c>
      <c r="N206" t="str">
        <f t="shared" si="73"/>
        <v>Books David20171012 $688</v>
      </c>
      <c r="O206" t="str">
        <f t="shared" si="74"/>
        <v>Books David 20171012 $688</v>
      </c>
      <c r="P206">
        <f t="shared" si="75"/>
        <v>6</v>
      </c>
      <c r="Q206">
        <f t="shared" si="76"/>
        <v>12</v>
      </c>
      <c r="R206">
        <f t="shared" si="77"/>
        <v>21</v>
      </c>
      <c r="S206" t="str">
        <f t="shared" si="78"/>
        <v>Books</v>
      </c>
      <c r="T206" t="str">
        <f t="shared" si="79"/>
        <v>David</v>
      </c>
      <c r="U206" t="str">
        <f t="shared" si="80"/>
        <v>20171012</v>
      </c>
      <c r="V206" t="str">
        <f t="shared" si="81"/>
        <v>688</v>
      </c>
      <c r="W206" s="4">
        <f t="shared" si="82"/>
        <v>43020</v>
      </c>
      <c r="X206" s="5">
        <f t="shared" si="83"/>
        <v>688</v>
      </c>
    </row>
    <row r="207" spans="3:24" x14ac:dyDescent="0.35">
      <c r="C207" s="2">
        <f t="shared" si="63"/>
        <v>206</v>
      </c>
      <c r="D207" t="s">
        <v>205</v>
      </c>
      <c r="E207">
        <f t="shared" si="64"/>
        <v>30</v>
      </c>
      <c r="F207" t="str">
        <f t="shared" si="65"/>
        <v xml:space="preserve">//PR:Clothing_____SP:Carol20171022  $1334     </v>
      </c>
      <c r="G207">
        <f t="shared" si="66"/>
        <v>32</v>
      </c>
      <c r="H207" t="str">
        <f t="shared" si="67"/>
        <v>//PR:Clothing_____SP:Carol20171022  $1334</v>
      </c>
      <c r="I207">
        <f t="shared" si="68"/>
        <v>52</v>
      </c>
      <c r="J207" t="str">
        <f t="shared" si="69"/>
        <v>PR:Clothing_____SP:Carol20171022  $1334</v>
      </c>
      <c r="K207" t="str">
        <f t="shared" si="70"/>
        <v>PR:Clothing     SP:Carol20171022  $1334</v>
      </c>
      <c r="L207" t="str">
        <f t="shared" si="71"/>
        <v>Clothing     SP:Carol20171022  $1334</v>
      </c>
      <c r="M207" t="str">
        <f t="shared" si="72"/>
        <v>Clothing     Carol20171022  $1334</v>
      </c>
      <c r="N207" t="str">
        <f t="shared" si="73"/>
        <v>Clothing Carol20171022 $1334</v>
      </c>
      <c r="O207" t="str">
        <f t="shared" si="74"/>
        <v>Clothing Carol 20171022 $1334</v>
      </c>
      <c r="P207">
        <f t="shared" si="75"/>
        <v>9</v>
      </c>
      <c r="Q207">
        <f t="shared" si="76"/>
        <v>15</v>
      </c>
      <c r="R207">
        <f t="shared" si="77"/>
        <v>24</v>
      </c>
      <c r="S207" t="str">
        <f t="shared" si="78"/>
        <v>Clothing</v>
      </c>
      <c r="T207" t="str">
        <f t="shared" si="79"/>
        <v>Carol</v>
      </c>
      <c r="U207" t="str">
        <f t="shared" si="80"/>
        <v>20171022</v>
      </c>
      <c r="V207" t="str">
        <f t="shared" si="81"/>
        <v>1334</v>
      </c>
      <c r="W207" s="4">
        <f t="shared" si="82"/>
        <v>43030</v>
      </c>
      <c r="X207" s="5">
        <f t="shared" si="83"/>
        <v>1334</v>
      </c>
    </row>
    <row r="208" spans="3:24" x14ac:dyDescent="0.35">
      <c r="C208" s="2">
        <f t="shared" si="63"/>
        <v>207</v>
      </c>
      <c r="D208" t="s">
        <v>206</v>
      </c>
      <c r="E208">
        <f t="shared" si="64"/>
        <v>30</v>
      </c>
      <c r="F208" t="str">
        <f t="shared" si="65"/>
        <v xml:space="preserve">/PR:Books_SP:Alice20171014     $552  </v>
      </c>
      <c r="G208">
        <f t="shared" si="66"/>
        <v>32</v>
      </c>
      <c r="H208" t="str">
        <f t="shared" si="67"/>
        <v>/PR:Books_SP:Alice20171014     $552</v>
      </c>
      <c r="I208">
        <f t="shared" si="68"/>
        <v>50</v>
      </c>
      <c r="J208" t="str">
        <f t="shared" si="69"/>
        <v>PR:Books_SP:Alice20171014     $552</v>
      </c>
      <c r="K208" t="str">
        <f t="shared" si="70"/>
        <v>PR:Books SP:Alice20171014     $552</v>
      </c>
      <c r="L208" t="str">
        <f t="shared" si="71"/>
        <v>Books SP:Alice20171014     $552</v>
      </c>
      <c r="M208" t="str">
        <f t="shared" si="72"/>
        <v>Books Alice20171014     $552</v>
      </c>
      <c r="N208" t="str">
        <f t="shared" si="73"/>
        <v>Books Alice20171014 $552</v>
      </c>
      <c r="O208" t="str">
        <f t="shared" si="74"/>
        <v>Books Alice 20171014 $552</v>
      </c>
      <c r="P208">
        <f t="shared" si="75"/>
        <v>6</v>
      </c>
      <c r="Q208">
        <f t="shared" si="76"/>
        <v>12</v>
      </c>
      <c r="R208">
        <f t="shared" si="77"/>
        <v>21</v>
      </c>
      <c r="S208" t="str">
        <f t="shared" si="78"/>
        <v>Books</v>
      </c>
      <c r="T208" t="str">
        <f t="shared" si="79"/>
        <v>Alice</v>
      </c>
      <c r="U208" t="str">
        <f t="shared" si="80"/>
        <v>20171014</v>
      </c>
      <c r="V208" t="str">
        <f t="shared" si="81"/>
        <v>552</v>
      </c>
      <c r="W208" s="4">
        <f t="shared" si="82"/>
        <v>43022</v>
      </c>
      <c r="X208" s="5">
        <f t="shared" si="83"/>
        <v>552</v>
      </c>
    </row>
    <row r="209" spans="3:24" x14ac:dyDescent="0.35">
      <c r="C209" s="2">
        <f t="shared" si="63"/>
        <v>208</v>
      </c>
      <c r="D209" t="s">
        <v>207</v>
      </c>
      <c r="E209">
        <f t="shared" si="64"/>
        <v>31</v>
      </c>
      <c r="F209" t="str">
        <f t="shared" si="65"/>
        <v xml:space="preserve">////PR:Books_____SP:Carol20171011     $776   </v>
      </c>
      <c r="G209">
        <f t="shared" si="66"/>
        <v>32</v>
      </c>
      <c r="H209" t="str">
        <f t="shared" si="67"/>
        <v>////PR:Books_____SP:Carol20171011     $776</v>
      </c>
      <c r="I209">
        <f t="shared" si="68"/>
        <v>54</v>
      </c>
      <c r="J209" t="str">
        <f t="shared" si="69"/>
        <v>PR:Books_____SP:Carol20171011     $776</v>
      </c>
      <c r="K209" t="str">
        <f t="shared" si="70"/>
        <v>PR:Books     SP:Carol20171011     $776</v>
      </c>
      <c r="L209" t="str">
        <f t="shared" si="71"/>
        <v>Books     SP:Carol20171011     $776</v>
      </c>
      <c r="M209" t="str">
        <f t="shared" si="72"/>
        <v>Books     Carol20171011     $776</v>
      </c>
      <c r="N209" t="str">
        <f t="shared" si="73"/>
        <v>Books Carol20171011 $776</v>
      </c>
      <c r="O209" t="str">
        <f t="shared" si="74"/>
        <v>Books Carol 20171011 $776</v>
      </c>
      <c r="P209">
        <f t="shared" si="75"/>
        <v>6</v>
      </c>
      <c r="Q209">
        <f t="shared" si="76"/>
        <v>12</v>
      </c>
      <c r="R209">
        <f t="shared" si="77"/>
        <v>21</v>
      </c>
      <c r="S209" t="str">
        <f t="shared" si="78"/>
        <v>Books</v>
      </c>
      <c r="T209" t="str">
        <f t="shared" si="79"/>
        <v>Carol</v>
      </c>
      <c r="U209" t="str">
        <f t="shared" si="80"/>
        <v>20171011</v>
      </c>
      <c r="V209" t="str">
        <f t="shared" si="81"/>
        <v>776</v>
      </c>
      <c r="W209" s="4">
        <f t="shared" si="82"/>
        <v>43019</v>
      </c>
      <c r="X209" s="5">
        <f t="shared" si="83"/>
        <v>776</v>
      </c>
    </row>
    <row r="210" spans="3:24" x14ac:dyDescent="0.35">
      <c r="C210" s="2">
        <f t="shared" si="63"/>
        <v>209</v>
      </c>
      <c r="D210" t="s">
        <v>208</v>
      </c>
      <c r="E210">
        <f t="shared" si="64"/>
        <v>30</v>
      </c>
      <c r="F210" t="str">
        <f t="shared" si="65"/>
        <v xml:space="preserve">/PR:Games__SP:Barney20171028    $1261    </v>
      </c>
      <c r="G210">
        <f t="shared" si="66"/>
        <v>32</v>
      </c>
      <c r="H210" t="str">
        <f t="shared" si="67"/>
        <v>/PR:Games__SP:Barney20171028    $1261</v>
      </c>
      <c r="I210">
        <f t="shared" si="68"/>
        <v>49</v>
      </c>
      <c r="J210" t="str">
        <f t="shared" si="69"/>
        <v>PR:Games__SP:Barney20171028    $1261</v>
      </c>
      <c r="K210" t="str">
        <f t="shared" si="70"/>
        <v>PR:Games  SP:Barney20171028    $1261</v>
      </c>
      <c r="L210" t="str">
        <f t="shared" si="71"/>
        <v>Games  SP:Barney20171028    $1261</v>
      </c>
      <c r="M210" t="str">
        <f t="shared" si="72"/>
        <v>Games  Barney20171028    $1261</v>
      </c>
      <c r="N210" t="str">
        <f t="shared" si="73"/>
        <v>Games Barney20171028 $1261</v>
      </c>
      <c r="O210" t="str">
        <f t="shared" si="74"/>
        <v>Games Barney 20171028 $1261</v>
      </c>
      <c r="P210">
        <f t="shared" si="75"/>
        <v>6</v>
      </c>
      <c r="Q210">
        <f t="shared" si="76"/>
        <v>13</v>
      </c>
      <c r="R210">
        <f t="shared" si="77"/>
        <v>22</v>
      </c>
      <c r="S210" t="str">
        <f t="shared" si="78"/>
        <v>Games</v>
      </c>
      <c r="T210" t="str">
        <f t="shared" si="79"/>
        <v>Barney</v>
      </c>
      <c r="U210" t="str">
        <f t="shared" si="80"/>
        <v>20171028</v>
      </c>
      <c r="V210" t="str">
        <f t="shared" si="81"/>
        <v>1261</v>
      </c>
      <c r="W210" s="4">
        <f t="shared" si="82"/>
        <v>43036</v>
      </c>
      <c r="X210" s="5">
        <f t="shared" si="83"/>
        <v>1261</v>
      </c>
    </row>
    <row r="211" spans="3:24" x14ac:dyDescent="0.35">
      <c r="C211" s="2">
        <f t="shared" si="63"/>
        <v>210</v>
      </c>
      <c r="D211" t="s">
        <v>209</v>
      </c>
      <c r="E211">
        <f t="shared" si="64"/>
        <v>30</v>
      </c>
      <c r="F211" t="str">
        <f t="shared" si="65"/>
        <v xml:space="preserve">////PR:Music____SP:David20171022   $1437 </v>
      </c>
      <c r="G211">
        <f t="shared" si="66"/>
        <v>32</v>
      </c>
      <c r="H211" t="str">
        <f t="shared" si="67"/>
        <v>////PR:Music____SP:David20171022   $1437</v>
      </c>
      <c r="I211">
        <f t="shared" si="68"/>
        <v>55</v>
      </c>
      <c r="J211" t="str">
        <f t="shared" si="69"/>
        <v>PR:Music____SP:David20171022   $1437</v>
      </c>
      <c r="K211" t="str">
        <f t="shared" si="70"/>
        <v>PR:Music    SP:David20171022   $1437</v>
      </c>
      <c r="L211" t="str">
        <f t="shared" si="71"/>
        <v>Music    SP:David20171022   $1437</v>
      </c>
      <c r="M211" t="str">
        <f t="shared" si="72"/>
        <v>Music    David20171022   $1437</v>
      </c>
      <c r="N211" t="str">
        <f t="shared" si="73"/>
        <v>Music David20171022 $1437</v>
      </c>
      <c r="O211" t="str">
        <f t="shared" si="74"/>
        <v>Music David 20171022 $1437</v>
      </c>
      <c r="P211">
        <f t="shared" si="75"/>
        <v>6</v>
      </c>
      <c r="Q211">
        <f t="shared" si="76"/>
        <v>12</v>
      </c>
      <c r="R211">
        <f t="shared" si="77"/>
        <v>21</v>
      </c>
      <c r="S211" t="str">
        <f t="shared" si="78"/>
        <v>Music</v>
      </c>
      <c r="T211" t="str">
        <f t="shared" si="79"/>
        <v>David</v>
      </c>
      <c r="U211" t="str">
        <f t="shared" si="80"/>
        <v>20171022</v>
      </c>
      <c r="V211" t="str">
        <f t="shared" si="81"/>
        <v>1437</v>
      </c>
      <c r="W211" s="4">
        <f t="shared" si="82"/>
        <v>43030</v>
      </c>
      <c r="X211" s="5">
        <f t="shared" si="83"/>
        <v>1437</v>
      </c>
    </row>
    <row r="212" spans="3:24" x14ac:dyDescent="0.35">
      <c r="C212" s="2">
        <f t="shared" si="63"/>
        <v>211</v>
      </c>
      <c r="D212" t="s">
        <v>210</v>
      </c>
      <c r="E212">
        <f t="shared" si="64"/>
        <v>28</v>
      </c>
      <c r="F212" t="str">
        <f t="shared" si="65"/>
        <v xml:space="preserve">/PR:Clothing__SP:David20171025 $0     </v>
      </c>
      <c r="G212">
        <f t="shared" si="66"/>
        <v>32</v>
      </c>
      <c r="H212" t="str">
        <f t="shared" si="67"/>
        <v>/PR:Clothing__SP:David20171025 $0</v>
      </c>
      <c r="I212">
        <f t="shared" si="68"/>
        <v>48</v>
      </c>
      <c r="J212" t="str">
        <f t="shared" si="69"/>
        <v>PR:Clothing__SP:David20171025 $0</v>
      </c>
      <c r="K212" t="str">
        <f t="shared" si="70"/>
        <v>PR:Clothing  SP:David20171025 $0</v>
      </c>
      <c r="L212" t="str">
        <f t="shared" si="71"/>
        <v>Clothing  SP:David20171025 $0</v>
      </c>
      <c r="M212" t="str">
        <f t="shared" si="72"/>
        <v>Clothing  David20171025 $0</v>
      </c>
      <c r="N212" t="str">
        <f t="shared" si="73"/>
        <v>Clothing David20171025 $0</v>
      </c>
      <c r="O212" t="str">
        <f t="shared" si="74"/>
        <v>Clothing David 20171025 $0</v>
      </c>
      <c r="P212">
        <f t="shared" si="75"/>
        <v>9</v>
      </c>
      <c r="Q212">
        <f t="shared" si="76"/>
        <v>15</v>
      </c>
      <c r="R212">
        <f t="shared" si="77"/>
        <v>24</v>
      </c>
      <c r="S212" t="str">
        <f t="shared" si="78"/>
        <v>Clothing</v>
      </c>
      <c r="T212" t="str">
        <f t="shared" si="79"/>
        <v>David</v>
      </c>
      <c r="U212" t="str">
        <f t="shared" si="80"/>
        <v>20171025</v>
      </c>
      <c r="V212" t="str">
        <f t="shared" si="81"/>
        <v>0</v>
      </c>
      <c r="W212" s="4">
        <f t="shared" si="82"/>
        <v>43033</v>
      </c>
      <c r="X212" s="5">
        <f t="shared" si="83"/>
        <v>0</v>
      </c>
    </row>
    <row r="213" spans="3:24" x14ac:dyDescent="0.35">
      <c r="C213" s="2">
        <f t="shared" si="63"/>
        <v>212</v>
      </c>
      <c r="D213" t="s">
        <v>211</v>
      </c>
      <c r="E213">
        <f t="shared" si="64"/>
        <v>30</v>
      </c>
      <c r="F213" t="str">
        <f t="shared" si="65"/>
        <v xml:space="preserve">///PR:Games_SP:David20171031    $1562  </v>
      </c>
      <c r="G213">
        <f t="shared" si="66"/>
        <v>32</v>
      </c>
      <c r="H213" t="str">
        <f t="shared" si="67"/>
        <v>///PR:Games_SP:David20171031    $1562</v>
      </c>
      <c r="I213">
        <f t="shared" si="68"/>
        <v>50</v>
      </c>
      <c r="J213" t="str">
        <f t="shared" si="69"/>
        <v>PR:Games_SP:David20171031    $1562</v>
      </c>
      <c r="K213" t="str">
        <f t="shared" si="70"/>
        <v>PR:Games SP:David20171031    $1562</v>
      </c>
      <c r="L213" t="str">
        <f t="shared" si="71"/>
        <v>Games SP:David20171031    $1562</v>
      </c>
      <c r="M213" t="str">
        <f t="shared" si="72"/>
        <v>Games David20171031    $1562</v>
      </c>
      <c r="N213" t="str">
        <f t="shared" si="73"/>
        <v>Games David20171031 $1562</v>
      </c>
      <c r="O213" t="str">
        <f t="shared" si="74"/>
        <v>Games David 20171031 $1562</v>
      </c>
      <c r="P213">
        <f t="shared" si="75"/>
        <v>6</v>
      </c>
      <c r="Q213">
        <f t="shared" si="76"/>
        <v>12</v>
      </c>
      <c r="R213">
        <f t="shared" si="77"/>
        <v>21</v>
      </c>
      <c r="S213" t="str">
        <f t="shared" si="78"/>
        <v>Games</v>
      </c>
      <c r="T213" t="str">
        <f t="shared" si="79"/>
        <v>David</v>
      </c>
      <c r="U213" t="str">
        <f t="shared" si="80"/>
        <v>20171031</v>
      </c>
      <c r="V213" t="str">
        <f t="shared" si="81"/>
        <v>1562</v>
      </c>
      <c r="W213" s="4">
        <f t="shared" si="82"/>
        <v>43039</v>
      </c>
      <c r="X213" s="5">
        <f t="shared" si="83"/>
        <v>1562</v>
      </c>
    </row>
    <row r="214" spans="3:24" x14ac:dyDescent="0.35">
      <c r="C214" s="2">
        <f t="shared" si="63"/>
        <v>213</v>
      </c>
      <c r="D214" t="s">
        <v>212</v>
      </c>
      <c r="E214">
        <f t="shared" si="64"/>
        <v>29</v>
      </c>
      <c r="F214" t="str">
        <f t="shared" si="65"/>
        <v xml:space="preserve">/PR:Music___SP:Alice20171021 $1342    </v>
      </c>
      <c r="G214">
        <f t="shared" si="66"/>
        <v>32</v>
      </c>
      <c r="H214" t="str">
        <f t="shared" si="67"/>
        <v>/PR:Music___SP:Alice20171021 $1342</v>
      </c>
      <c r="I214">
        <f t="shared" si="68"/>
        <v>50</v>
      </c>
      <c r="J214" t="str">
        <f t="shared" si="69"/>
        <v>PR:Music___SP:Alice20171021 $1342</v>
      </c>
      <c r="K214" t="str">
        <f t="shared" si="70"/>
        <v>PR:Music   SP:Alice20171021 $1342</v>
      </c>
      <c r="L214" t="str">
        <f t="shared" si="71"/>
        <v>Music   SP:Alice20171021 $1342</v>
      </c>
      <c r="M214" t="str">
        <f t="shared" si="72"/>
        <v>Music   Alice20171021 $1342</v>
      </c>
      <c r="N214" t="str">
        <f t="shared" si="73"/>
        <v>Music Alice20171021 $1342</v>
      </c>
      <c r="O214" t="str">
        <f t="shared" si="74"/>
        <v>Music Alice 20171021 $1342</v>
      </c>
      <c r="P214">
        <f t="shared" si="75"/>
        <v>6</v>
      </c>
      <c r="Q214">
        <f t="shared" si="76"/>
        <v>12</v>
      </c>
      <c r="R214">
        <f t="shared" si="77"/>
        <v>21</v>
      </c>
      <c r="S214" t="str">
        <f t="shared" si="78"/>
        <v>Music</v>
      </c>
      <c r="T214" t="str">
        <f t="shared" si="79"/>
        <v>Alice</v>
      </c>
      <c r="U214" t="str">
        <f t="shared" si="80"/>
        <v>20171021</v>
      </c>
      <c r="V214" t="str">
        <f t="shared" si="81"/>
        <v>1342</v>
      </c>
      <c r="W214" s="4">
        <f t="shared" si="82"/>
        <v>43029</v>
      </c>
      <c r="X214" s="5">
        <f t="shared" si="83"/>
        <v>1342</v>
      </c>
    </row>
    <row r="215" spans="3:24" x14ac:dyDescent="0.35">
      <c r="C215" s="2">
        <f t="shared" si="63"/>
        <v>214</v>
      </c>
      <c r="D215" t="s">
        <v>213</v>
      </c>
      <c r="E215">
        <f t="shared" si="64"/>
        <v>31</v>
      </c>
      <c r="F215" t="str">
        <f t="shared" si="65"/>
        <v xml:space="preserve">////PR:Music__SP:David2017103     $0 </v>
      </c>
      <c r="G215">
        <f t="shared" si="66"/>
        <v>32</v>
      </c>
      <c r="H215" t="str">
        <f t="shared" si="67"/>
        <v>////PR:Music__SP:David2017103     $0</v>
      </c>
      <c r="I215">
        <f t="shared" si="68"/>
        <v>48</v>
      </c>
      <c r="J215" t="str">
        <f t="shared" si="69"/>
        <v>PR:Music__SP:David2017103     $0</v>
      </c>
      <c r="K215" t="str">
        <f t="shared" si="70"/>
        <v>PR:Music  SP:David2017103     $0</v>
      </c>
      <c r="L215" t="str">
        <f t="shared" si="71"/>
        <v>Music  SP:David2017103     $0</v>
      </c>
      <c r="M215" t="str">
        <f t="shared" si="72"/>
        <v>Music  David2017103     $0</v>
      </c>
      <c r="N215" t="str">
        <f t="shared" si="73"/>
        <v>Music David2017103 $0</v>
      </c>
      <c r="O215" t="str">
        <f t="shared" si="74"/>
        <v>Music David 2017103 $0</v>
      </c>
      <c r="P215">
        <f t="shared" si="75"/>
        <v>6</v>
      </c>
      <c r="Q215">
        <f t="shared" si="76"/>
        <v>12</v>
      </c>
      <c r="R215">
        <f t="shared" si="77"/>
        <v>20</v>
      </c>
      <c r="S215" t="str">
        <f t="shared" si="78"/>
        <v>Music</v>
      </c>
      <c r="T215" t="str">
        <f t="shared" si="79"/>
        <v>David</v>
      </c>
      <c r="U215" t="str">
        <f t="shared" si="80"/>
        <v>2017103</v>
      </c>
      <c r="V215" t="str">
        <f t="shared" si="81"/>
        <v>0</v>
      </c>
      <c r="W215" s="4">
        <f t="shared" si="82"/>
        <v>43011</v>
      </c>
      <c r="X215" s="5">
        <f t="shared" si="83"/>
        <v>0</v>
      </c>
    </row>
    <row r="216" spans="3:24" x14ac:dyDescent="0.35">
      <c r="C216" s="2">
        <f t="shared" si="63"/>
        <v>215</v>
      </c>
      <c r="D216" t="s">
        <v>214</v>
      </c>
      <c r="E216">
        <f t="shared" si="64"/>
        <v>31</v>
      </c>
      <c r="F216" t="str">
        <f t="shared" si="65"/>
        <v xml:space="preserve">/PR:Games____SP:Alice20171017     $892 </v>
      </c>
      <c r="G216">
        <f t="shared" si="66"/>
        <v>32</v>
      </c>
      <c r="H216" t="str">
        <f t="shared" si="67"/>
        <v>/PR:Games____SP:Alice20171017     $892</v>
      </c>
      <c r="I216">
        <f t="shared" si="68"/>
        <v>50</v>
      </c>
      <c r="J216" t="str">
        <f t="shared" si="69"/>
        <v>PR:Games____SP:Alice20171017     $892</v>
      </c>
      <c r="K216" t="str">
        <f t="shared" si="70"/>
        <v>PR:Games    SP:Alice20171017     $892</v>
      </c>
      <c r="L216" t="str">
        <f t="shared" si="71"/>
        <v>Games    SP:Alice20171017     $892</v>
      </c>
      <c r="M216" t="str">
        <f t="shared" si="72"/>
        <v>Games    Alice20171017     $892</v>
      </c>
      <c r="N216" t="str">
        <f t="shared" si="73"/>
        <v>Games Alice20171017 $892</v>
      </c>
      <c r="O216" t="str">
        <f t="shared" si="74"/>
        <v>Games Alice 20171017 $892</v>
      </c>
      <c r="P216">
        <f t="shared" si="75"/>
        <v>6</v>
      </c>
      <c r="Q216">
        <f t="shared" si="76"/>
        <v>12</v>
      </c>
      <c r="R216">
        <f t="shared" si="77"/>
        <v>21</v>
      </c>
      <c r="S216" t="str">
        <f t="shared" si="78"/>
        <v>Games</v>
      </c>
      <c r="T216" t="str">
        <f t="shared" si="79"/>
        <v>Alice</v>
      </c>
      <c r="U216" t="str">
        <f t="shared" si="80"/>
        <v>20171017</v>
      </c>
      <c r="V216" t="str">
        <f t="shared" si="81"/>
        <v>892</v>
      </c>
      <c r="W216" s="4">
        <f t="shared" si="82"/>
        <v>43025</v>
      </c>
      <c r="X216" s="5">
        <f t="shared" si="83"/>
        <v>892</v>
      </c>
    </row>
    <row r="217" spans="3:24" x14ac:dyDescent="0.35">
      <c r="C217" s="2">
        <f t="shared" si="63"/>
        <v>216</v>
      </c>
      <c r="D217" t="s">
        <v>215</v>
      </c>
      <c r="E217">
        <f t="shared" si="64"/>
        <v>30</v>
      </c>
      <c r="F217" t="str">
        <f t="shared" si="65"/>
        <v xml:space="preserve">//PR:Music_SP:Alice20171014    $1236    </v>
      </c>
      <c r="G217">
        <f t="shared" si="66"/>
        <v>32</v>
      </c>
      <c r="H217" t="str">
        <f t="shared" si="67"/>
        <v>//PR:Music_SP:Alice20171014    $1236</v>
      </c>
      <c r="I217">
        <f t="shared" si="68"/>
        <v>54</v>
      </c>
      <c r="J217" t="str">
        <f t="shared" si="69"/>
        <v>PR:Music_SP:Alice20171014    $1236</v>
      </c>
      <c r="K217" t="str">
        <f t="shared" si="70"/>
        <v>PR:Music SP:Alice20171014    $1236</v>
      </c>
      <c r="L217" t="str">
        <f t="shared" si="71"/>
        <v>Music SP:Alice20171014    $1236</v>
      </c>
      <c r="M217" t="str">
        <f t="shared" si="72"/>
        <v>Music Alice20171014    $1236</v>
      </c>
      <c r="N217" t="str">
        <f t="shared" si="73"/>
        <v>Music Alice20171014 $1236</v>
      </c>
      <c r="O217" t="str">
        <f t="shared" si="74"/>
        <v>Music Alice 20171014 $1236</v>
      </c>
      <c r="P217">
        <f t="shared" si="75"/>
        <v>6</v>
      </c>
      <c r="Q217">
        <f t="shared" si="76"/>
        <v>12</v>
      </c>
      <c r="R217">
        <f t="shared" si="77"/>
        <v>21</v>
      </c>
      <c r="S217" t="str">
        <f t="shared" si="78"/>
        <v>Music</v>
      </c>
      <c r="T217" t="str">
        <f t="shared" si="79"/>
        <v>Alice</v>
      </c>
      <c r="U217" t="str">
        <f t="shared" si="80"/>
        <v>20171014</v>
      </c>
      <c r="V217" t="str">
        <f t="shared" si="81"/>
        <v>1236</v>
      </c>
      <c r="W217" s="4">
        <f t="shared" si="82"/>
        <v>43022</v>
      </c>
      <c r="X217" s="5">
        <f t="shared" si="83"/>
        <v>1236</v>
      </c>
    </row>
    <row r="218" spans="3:24" x14ac:dyDescent="0.35">
      <c r="C218" s="2">
        <f t="shared" si="63"/>
        <v>217</v>
      </c>
      <c r="D218" t="s">
        <v>216</v>
      </c>
      <c r="E218">
        <f t="shared" si="64"/>
        <v>29</v>
      </c>
      <c r="F218" t="str">
        <f t="shared" si="65"/>
        <v xml:space="preserve">/PR:Games____SP:Carol20171019    $1289  </v>
      </c>
      <c r="G218">
        <f t="shared" si="66"/>
        <v>32</v>
      </c>
      <c r="H218" t="str">
        <f t="shared" si="67"/>
        <v>/PR:Games____SP:Carol20171019    $1289</v>
      </c>
      <c r="I218">
        <f t="shared" si="68"/>
        <v>57</v>
      </c>
      <c r="J218" t="str">
        <f t="shared" si="69"/>
        <v>PR:Games____SP:Carol20171019    $1289</v>
      </c>
      <c r="K218" t="str">
        <f t="shared" si="70"/>
        <v>PR:Games    SP:Carol20171019    $1289</v>
      </c>
      <c r="L218" t="str">
        <f t="shared" si="71"/>
        <v>Games    SP:Carol20171019    $1289</v>
      </c>
      <c r="M218" t="str">
        <f t="shared" si="72"/>
        <v>Games    Carol20171019    $1289</v>
      </c>
      <c r="N218" t="str">
        <f t="shared" si="73"/>
        <v>Games Carol20171019 $1289</v>
      </c>
      <c r="O218" t="str">
        <f t="shared" si="74"/>
        <v>Games Carol 20171019 $1289</v>
      </c>
      <c r="P218">
        <f t="shared" si="75"/>
        <v>6</v>
      </c>
      <c r="Q218">
        <f t="shared" si="76"/>
        <v>12</v>
      </c>
      <c r="R218">
        <f t="shared" si="77"/>
        <v>21</v>
      </c>
      <c r="S218" t="str">
        <f t="shared" si="78"/>
        <v>Games</v>
      </c>
      <c r="T218" t="str">
        <f t="shared" si="79"/>
        <v>Carol</v>
      </c>
      <c r="U218" t="str">
        <f t="shared" si="80"/>
        <v>20171019</v>
      </c>
      <c r="V218" t="str">
        <f t="shared" si="81"/>
        <v>1289</v>
      </c>
      <c r="W218" s="4">
        <f t="shared" si="82"/>
        <v>43027</v>
      </c>
      <c r="X218" s="5">
        <f t="shared" si="83"/>
        <v>1289</v>
      </c>
    </row>
    <row r="219" spans="3:24" x14ac:dyDescent="0.35">
      <c r="C219" s="2">
        <f t="shared" si="63"/>
        <v>218</v>
      </c>
      <c r="D219" t="s">
        <v>217</v>
      </c>
      <c r="E219">
        <f t="shared" si="64"/>
        <v>29</v>
      </c>
      <c r="F219" t="str">
        <f t="shared" si="65"/>
        <v xml:space="preserve">/////PR:Clothing___SP:David20171016   $1414    </v>
      </c>
      <c r="G219">
        <f t="shared" si="66"/>
        <v>32</v>
      </c>
      <c r="H219" t="str">
        <f t="shared" si="67"/>
        <v>/////PR:Clothing___SP:David20171016   $1414</v>
      </c>
      <c r="I219">
        <f t="shared" si="68"/>
        <v>52</v>
      </c>
      <c r="J219" t="str">
        <f t="shared" si="69"/>
        <v>PR:Clothing___SP:David20171016   $1414</v>
      </c>
      <c r="K219" t="str">
        <f t="shared" si="70"/>
        <v>PR:Clothing   SP:David20171016   $1414</v>
      </c>
      <c r="L219" t="str">
        <f t="shared" si="71"/>
        <v>Clothing   SP:David20171016   $1414</v>
      </c>
      <c r="M219" t="str">
        <f t="shared" si="72"/>
        <v>Clothing   David20171016   $1414</v>
      </c>
      <c r="N219" t="str">
        <f t="shared" si="73"/>
        <v>Clothing David20171016 $1414</v>
      </c>
      <c r="O219" t="str">
        <f t="shared" si="74"/>
        <v>Clothing David 20171016 $1414</v>
      </c>
      <c r="P219">
        <f t="shared" si="75"/>
        <v>9</v>
      </c>
      <c r="Q219">
        <f t="shared" si="76"/>
        <v>15</v>
      </c>
      <c r="R219">
        <f t="shared" si="77"/>
        <v>24</v>
      </c>
      <c r="S219" t="str">
        <f t="shared" si="78"/>
        <v>Clothing</v>
      </c>
      <c r="T219" t="str">
        <f t="shared" si="79"/>
        <v>David</v>
      </c>
      <c r="U219" t="str">
        <f t="shared" si="80"/>
        <v>20171016</v>
      </c>
      <c r="V219" t="str">
        <f t="shared" si="81"/>
        <v>1414</v>
      </c>
      <c r="W219" s="4">
        <f t="shared" si="82"/>
        <v>43024</v>
      </c>
      <c r="X219" s="5">
        <f t="shared" si="83"/>
        <v>1414</v>
      </c>
    </row>
    <row r="220" spans="3:24" x14ac:dyDescent="0.35">
      <c r="C220" s="2">
        <f t="shared" si="63"/>
        <v>219</v>
      </c>
      <c r="D220" t="s">
        <v>218</v>
      </c>
      <c r="E220">
        <f t="shared" si="64"/>
        <v>29</v>
      </c>
      <c r="F220" t="str">
        <f t="shared" si="65"/>
        <v xml:space="preserve">/PR:Music__SP:Barney2017107     $984   </v>
      </c>
      <c r="G220">
        <f t="shared" si="66"/>
        <v>32</v>
      </c>
      <c r="H220" t="str">
        <f t="shared" si="67"/>
        <v>/PR:Music__SP:Barney2017107     $984</v>
      </c>
      <c r="I220">
        <f t="shared" si="68"/>
        <v>52</v>
      </c>
      <c r="J220" t="str">
        <f t="shared" si="69"/>
        <v>PR:Music__SP:Barney2017107     $984</v>
      </c>
      <c r="K220" t="str">
        <f t="shared" si="70"/>
        <v>PR:Music  SP:Barney2017107     $984</v>
      </c>
      <c r="L220" t="str">
        <f t="shared" si="71"/>
        <v>Music  SP:Barney2017107     $984</v>
      </c>
      <c r="M220" t="str">
        <f t="shared" si="72"/>
        <v>Music  Barney2017107     $984</v>
      </c>
      <c r="N220" t="str">
        <f t="shared" si="73"/>
        <v>Music Barney2017107 $984</v>
      </c>
      <c r="O220" t="str">
        <f t="shared" si="74"/>
        <v>Music Barney 2017107 $984</v>
      </c>
      <c r="P220">
        <f t="shared" si="75"/>
        <v>6</v>
      </c>
      <c r="Q220">
        <f t="shared" si="76"/>
        <v>13</v>
      </c>
      <c r="R220">
        <f t="shared" si="77"/>
        <v>21</v>
      </c>
      <c r="S220" t="str">
        <f t="shared" si="78"/>
        <v>Music</v>
      </c>
      <c r="T220" t="str">
        <f t="shared" si="79"/>
        <v>Barney</v>
      </c>
      <c r="U220" t="str">
        <f t="shared" si="80"/>
        <v>2017107</v>
      </c>
      <c r="V220" t="str">
        <f t="shared" si="81"/>
        <v>984</v>
      </c>
      <c r="W220" s="4">
        <f t="shared" si="82"/>
        <v>43015</v>
      </c>
      <c r="X220" s="5">
        <f t="shared" si="83"/>
        <v>984</v>
      </c>
    </row>
    <row r="221" spans="3:24" x14ac:dyDescent="0.35">
      <c r="C221" s="2">
        <f t="shared" si="63"/>
        <v>220</v>
      </c>
      <c r="D221" t="s">
        <v>219</v>
      </c>
      <c r="E221">
        <f t="shared" si="64"/>
        <v>30</v>
      </c>
      <c r="F221" t="str">
        <f t="shared" si="65"/>
        <v xml:space="preserve">//PR:Music__SP:Alice20171030     $0   </v>
      </c>
      <c r="G221">
        <f t="shared" si="66"/>
        <v>32</v>
      </c>
      <c r="H221" t="str">
        <f t="shared" si="67"/>
        <v>//PR:Music__SP:Alice20171030     $0</v>
      </c>
      <c r="I221">
        <f t="shared" si="68"/>
        <v>48</v>
      </c>
      <c r="J221" t="str">
        <f t="shared" si="69"/>
        <v>PR:Music__SP:Alice20171030     $0</v>
      </c>
      <c r="K221" t="str">
        <f t="shared" si="70"/>
        <v>PR:Music  SP:Alice20171030     $0</v>
      </c>
      <c r="L221" t="str">
        <f t="shared" si="71"/>
        <v>Music  SP:Alice20171030     $0</v>
      </c>
      <c r="M221" t="str">
        <f t="shared" si="72"/>
        <v>Music  Alice20171030     $0</v>
      </c>
      <c r="N221" t="str">
        <f t="shared" si="73"/>
        <v>Music Alice20171030 $0</v>
      </c>
      <c r="O221" t="str">
        <f t="shared" si="74"/>
        <v>Music Alice 20171030 $0</v>
      </c>
      <c r="P221">
        <f t="shared" si="75"/>
        <v>6</v>
      </c>
      <c r="Q221">
        <f t="shared" si="76"/>
        <v>12</v>
      </c>
      <c r="R221">
        <f t="shared" si="77"/>
        <v>21</v>
      </c>
      <c r="S221" t="str">
        <f t="shared" si="78"/>
        <v>Music</v>
      </c>
      <c r="T221" t="str">
        <f t="shared" si="79"/>
        <v>Alice</v>
      </c>
      <c r="U221" t="str">
        <f t="shared" si="80"/>
        <v>20171030</v>
      </c>
      <c r="V221" t="str">
        <f t="shared" si="81"/>
        <v>0</v>
      </c>
      <c r="W221" s="4">
        <f t="shared" si="82"/>
        <v>43038</v>
      </c>
      <c r="X221" s="5">
        <f t="shared" si="83"/>
        <v>0</v>
      </c>
    </row>
    <row r="222" spans="3:24" x14ac:dyDescent="0.35">
      <c r="C222" s="2">
        <f t="shared" si="63"/>
        <v>221</v>
      </c>
      <c r="D222" t="s">
        <v>220</v>
      </c>
      <c r="E222">
        <f t="shared" si="64"/>
        <v>28</v>
      </c>
      <c r="F222" t="str">
        <f t="shared" si="65"/>
        <v xml:space="preserve">////PR:Books_SP:David20171013   $0   </v>
      </c>
      <c r="G222">
        <f t="shared" si="66"/>
        <v>32</v>
      </c>
      <c r="H222" t="str">
        <f t="shared" si="67"/>
        <v>////PR:Books_SP:David20171013   $0</v>
      </c>
      <c r="I222">
        <f t="shared" si="68"/>
        <v>48</v>
      </c>
      <c r="J222" t="str">
        <f t="shared" si="69"/>
        <v>PR:Books_SP:David20171013   $0</v>
      </c>
      <c r="K222" t="str">
        <f t="shared" si="70"/>
        <v>PR:Books SP:David20171013   $0</v>
      </c>
      <c r="L222" t="str">
        <f t="shared" si="71"/>
        <v>Books SP:David20171013   $0</v>
      </c>
      <c r="M222" t="str">
        <f t="shared" si="72"/>
        <v>Books David20171013   $0</v>
      </c>
      <c r="N222" t="str">
        <f t="shared" si="73"/>
        <v>Books David20171013 $0</v>
      </c>
      <c r="O222" t="str">
        <f t="shared" si="74"/>
        <v>Books David 20171013 $0</v>
      </c>
      <c r="P222">
        <f t="shared" si="75"/>
        <v>6</v>
      </c>
      <c r="Q222">
        <f t="shared" si="76"/>
        <v>12</v>
      </c>
      <c r="R222">
        <f t="shared" si="77"/>
        <v>21</v>
      </c>
      <c r="S222" t="str">
        <f t="shared" si="78"/>
        <v>Books</v>
      </c>
      <c r="T222" t="str">
        <f t="shared" si="79"/>
        <v>David</v>
      </c>
      <c r="U222" t="str">
        <f t="shared" si="80"/>
        <v>20171013</v>
      </c>
      <c r="V222" t="str">
        <f t="shared" si="81"/>
        <v>0</v>
      </c>
      <c r="W222" s="4">
        <f t="shared" si="82"/>
        <v>43021</v>
      </c>
      <c r="X222" s="5">
        <f t="shared" si="83"/>
        <v>0</v>
      </c>
    </row>
    <row r="223" spans="3:24" x14ac:dyDescent="0.35">
      <c r="C223" s="2">
        <f t="shared" si="63"/>
        <v>222</v>
      </c>
      <c r="D223" t="s">
        <v>221</v>
      </c>
      <c r="E223">
        <f t="shared" si="64"/>
        <v>31</v>
      </c>
      <c r="F223" t="str">
        <f t="shared" si="65"/>
        <v xml:space="preserve">///PR:Clothing_SP:Barney2017108    $718  </v>
      </c>
      <c r="G223">
        <f t="shared" si="66"/>
        <v>32</v>
      </c>
      <c r="H223" t="str">
        <f t="shared" si="67"/>
        <v>///PR:Clothing_SP:Barney2017108    $718</v>
      </c>
      <c r="I223">
        <f t="shared" si="68"/>
        <v>56</v>
      </c>
      <c r="J223" t="str">
        <f t="shared" si="69"/>
        <v>PR:Clothing_SP:Barney2017108    $718</v>
      </c>
      <c r="K223" t="str">
        <f t="shared" si="70"/>
        <v>PR:Clothing SP:Barney2017108    $718</v>
      </c>
      <c r="L223" t="str">
        <f t="shared" si="71"/>
        <v>Clothing SP:Barney2017108    $718</v>
      </c>
      <c r="M223" t="str">
        <f t="shared" si="72"/>
        <v>Clothing Barney2017108    $718</v>
      </c>
      <c r="N223" t="str">
        <f t="shared" si="73"/>
        <v>Clothing Barney2017108 $718</v>
      </c>
      <c r="O223" t="str">
        <f t="shared" si="74"/>
        <v>Clothing Barney 2017108 $718</v>
      </c>
      <c r="P223">
        <f t="shared" si="75"/>
        <v>9</v>
      </c>
      <c r="Q223">
        <f t="shared" si="76"/>
        <v>16</v>
      </c>
      <c r="R223">
        <f t="shared" si="77"/>
        <v>24</v>
      </c>
      <c r="S223" t="str">
        <f t="shared" si="78"/>
        <v>Clothing</v>
      </c>
      <c r="T223" t="str">
        <f t="shared" si="79"/>
        <v>Barney</v>
      </c>
      <c r="U223" t="str">
        <f t="shared" si="80"/>
        <v>2017108</v>
      </c>
      <c r="V223" t="str">
        <f t="shared" si="81"/>
        <v>718</v>
      </c>
      <c r="W223" s="4">
        <f t="shared" si="82"/>
        <v>43016</v>
      </c>
      <c r="X223" s="5">
        <f t="shared" si="83"/>
        <v>718</v>
      </c>
    </row>
    <row r="224" spans="3:24" x14ac:dyDescent="0.35">
      <c r="C224" s="2">
        <f t="shared" si="63"/>
        <v>223</v>
      </c>
      <c r="D224" t="s">
        <v>222</v>
      </c>
      <c r="E224">
        <f t="shared" si="64"/>
        <v>29</v>
      </c>
      <c r="F224" t="str">
        <f t="shared" si="65"/>
        <v xml:space="preserve">/////PR:Music_SP:Alice2017103   $0 </v>
      </c>
      <c r="G224">
        <f t="shared" si="66"/>
        <v>32</v>
      </c>
      <c r="H224" t="str">
        <f t="shared" si="67"/>
        <v>/////PR:Music_SP:Alice2017103   $0</v>
      </c>
      <c r="I224">
        <f t="shared" si="68"/>
        <v>48</v>
      </c>
      <c r="J224" t="str">
        <f t="shared" si="69"/>
        <v>PR:Music_SP:Alice2017103   $0</v>
      </c>
      <c r="K224" t="str">
        <f t="shared" si="70"/>
        <v>PR:Music SP:Alice2017103   $0</v>
      </c>
      <c r="L224" t="str">
        <f t="shared" si="71"/>
        <v>Music SP:Alice2017103   $0</v>
      </c>
      <c r="M224" t="str">
        <f t="shared" si="72"/>
        <v>Music Alice2017103   $0</v>
      </c>
      <c r="N224" t="str">
        <f t="shared" si="73"/>
        <v>Music Alice2017103 $0</v>
      </c>
      <c r="O224" t="str">
        <f t="shared" si="74"/>
        <v>Music Alice 2017103 $0</v>
      </c>
      <c r="P224">
        <f t="shared" si="75"/>
        <v>6</v>
      </c>
      <c r="Q224">
        <f t="shared" si="76"/>
        <v>12</v>
      </c>
      <c r="R224">
        <f t="shared" si="77"/>
        <v>20</v>
      </c>
      <c r="S224" t="str">
        <f t="shared" si="78"/>
        <v>Music</v>
      </c>
      <c r="T224" t="str">
        <f t="shared" si="79"/>
        <v>Alice</v>
      </c>
      <c r="U224" t="str">
        <f t="shared" si="80"/>
        <v>2017103</v>
      </c>
      <c r="V224" t="str">
        <f t="shared" si="81"/>
        <v>0</v>
      </c>
      <c r="W224" s="4">
        <f t="shared" si="82"/>
        <v>43011</v>
      </c>
      <c r="X224" s="5">
        <f t="shared" si="83"/>
        <v>0</v>
      </c>
    </row>
    <row r="225" spans="3:24" x14ac:dyDescent="0.35">
      <c r="C225" s="2">
        <f t="shared" si="63"/>
        <v>224</v>
      </c>
      <c r="D225" t="s">
        <v>223</v>
      </c>
      <c r="E225">
        <f t="shared" si="64"/>
        <v>28</v>
      </c>
      <c r="F225" t="str">
        <f t="shared" si="65"/>
        <v xml:space="preserve">//PR:Music___SP:Alice2017102  $975 </v>
      </c>
      <c r="G225">
        <f t="shared" si="66"/>
        <v>32</v>
      </c>
      <c r="H225" t="str">
        <f t="shared" si="67"/>
        <v>//PR:Music___SP:Alice2017102  $975</v>
      </c>
      <c r="I225">
        <f t="shared" si="68"/>
        <v>53</v>
      </c>
      <c r="J225" t="str">
        <f t="shared" si="69"/>
        <v>PR:Music___SP:Alice2017102  $975</v>
      </c>
      <c r="K225" t="str">
        <f t="shared" si="70"/>
        <v>PR:Music   SP:Alice2017102  $975</v>
      </c>
      <c r="L225" t="str">
        <f t="shared" si="71"/>
        <v>Music   SP:Alice2017102  $975</v>
      </c>
      <c r="M225" t="str">
        <f t="shared" si="72"/>
        <v>Music   Alice2017102  $975</v>
      </c>
      <c r="N225" t="str">
        <f t="shared" si="73"/>
        <v>Music Alice2017102 $975</v>
      </c>
      <c r="O225" t="str">
        <f t="shared" si="74"/>
        <v>Music Alice 2017102 $975</v>
      </c>
      <c r="P225">
        <f t="shared" si="75"/>
        <v>6</v>
      </c>
      <c r="Q225">
        <f t="shared" si="76"/>
        <v>12</v>
      </c>
      <c r="R225">
        <f t="shared" si="77"/>
        <v>20</v>
      </c>
      <c r="S225" t="str">
        <f t="shared" si="78"/>
        <v>Music</v>
      </c>
      <c r="T225" t="str">
        <f t="shared" si="79"/>
        <v>Alice</v>
      </c>
      <c r="U225" t="str">
        <f t="shared" si="80"/>
        <v>2017102</v>
      </c>
      <c r="V225" t="str">
        <f t="shared" si="81"/>
        <v>975</v>
      </c>
      <c r="W225" s="4">
        <f t="shared" si="82"/>
        <v>43010</v>
      </c>
      <c r="X225" s="5">
        <f t="shared" si="83"/>
        <v>975</v>
      </c>
    </row>
    <row r="226" spans="3:24" x14ac:dyDescent="0.35">
      <c r="C226" s="2">
        <f t="shared" si="63"/>
        <v>225</v>
      </c>
      <c r="D226" t="s">
        <v>224</v>
      </c>
      <c r="E226">
        <f t="shared" si="64"/>
        <v>29</v>
      </c>
      <c r="F226" t="str">
        <f t="shared" si="65"/>
        <v xml:space="preserve">///PR:Clothing_SP:David20171010     $1545   </v>
      </c>
      <c r="G226">
        <f t="shared" si="66"/>
        <v>32</v>
      </c>
      <c r="H226" t="str">
        <f t="shared" si="67"/>
        <v>///PR:Clothing_SP:David20171010     $1545</v>
      </c>
      <c r="I226">
        <f t="shared" si="68"/>
        <v>53</v>
      </c>
      <c r="J226" t="str">
        <f t="shared" si="69"/>
        <v>PR:Clothing_SP:David20171010     $1545</v>
      </c>
      <c r="K226" t="str">
        <f t="shared" si="70"/>
        <v>PR:Clothing SP:David20171010     $1545</v>
      </c>
      <c r="L226" t="str">
        <f t="shared" si="71"/>
        <v>Clothing SP:David20171010     $1545</v>
      </c>
      <c r="M226" t="str">
        <f t="shared" si="72"/>
        <v>Clothing David20171010     $1545</v>
      </c>
      <c r="N226" t="str">
        <f t="shared" si="73"/>
        <v>Clothing David20171010 $1545</v>
      </c>
      <c r="O226" t="str">
        <f t="shared" si="74"/>
        <v>Clothing David 20171010 $1545</v>
      </c>
      <c r="P226">
        <f t="shared" si="75"/>
        <v>9</v>
      </c>
      <c r="Q226">
        <f t="shared" si="76"/>
        <v>15</v>
      </c>
      <c r="R226">
        <f t="shared" si="77"/>
        <v>24</v>
      </c>
      <c r="S226" t="str">
        <f t="shared" si="78"/>
        <v>Clothing</v>
      </c>
      <c r="T226" t="str">
        <f t="shared" si="79"/>
        <v>David</v>
      </c>
      <c r="U226" t="str">
        <f t="shared" si="80"/>
        <v>20171010</v>
      </c>
      <c r="V226" t="str">
        <f t="shared" si="81"/>
        <v>1545</v>
      </c>
      <c r="W226" s="4">
        <f t="shared" si="82"/>
        <v>43018</v>
      </c>
      <c r="X226" s="5">
        <f t="shared" si="83"/>
        <v>1545</v>
      </c>
    </row>
    <row r="227" spans="3:24" x14ac:dyDescent="0.35">
      <c r="C227" s="2">
        <f t="shared" si="63"/>
        <v>226</v>
      </c>
      <c r="D227" t="s">
        <v>225</v>
      </c>
      <c r="E227">
        <f t="shared" si="64"/>
        <v>31</v>
      </c>
      <c r="F227" t="str">
        <f t="shared" si="65"/>
        <v xml:space="preserve">///PR:Music___SP:David2017106     $0 </v>
      </c>
      <c r="G227">
        <f t="shared" si="66"/>
        <v>32</v>
      </c>
      <c r="H227" t="str">
        <f t="shared" si="67"/>
        <v>///PR:Music___SP:David2017106     $0</v>
      </c>
      <c r="I227">
        <f t="shared" si="68"/>
        <v>48</v>
      </c>
      <c r="J227" t="str">
        <f t="shared" si="69"/>
        <v>PR:Music___SP:David2017106     $0</v>
      </c>
      <c r="K227" t="str">
        <f t="shared" si="70"/>
        <v>PR:Music   SP:David2017106     $0</v>
      </c>
      <c r="L227" t="str">
        <f t="shared" si="71"/>
        <v>Music   SP:David2017106     $0</v>
      </c>
      <c r="M227" t="str">
        <f t="shared" si="72"/>
        <v>Music   David2017106     $0</v>
      </c>
      <c r="N227" t="str">
        <f t="shared" si="73"/>
        <v>Music David2017106 $0</v>
      </c>
      <c r="O227" t="str">
        <f t="shared" si="74"/>
        <v>Music David 2017106 $0</v>
      </c>
      <c r="P227">
        <f t="shared" si="75"/>
        <v>6</v>
      </c>
      <c r="Q227">
        <f t="shared" si="76"/>
        <v>12</v>
      </c>
      <c r="R227">
        <f t="shared" si="77"/>
        <v>20</v>
      </c>
      <c r="S227" t="str">
        <f t="shared" si="78"/>
        <v>Music</v>
      </c>
      <c r="T227" t="str">
        <f t="shared" si="79"/>
        <v>David</v>
      </c>
      <c r="U227" t="str">
        <f t="shared" si="80"/>
        <v>2017106</v>
      </c>
      <c r="V227" t="str">
        <f t="shared" si="81"/>
        <v>0</v>
      </c>
      <c r="W227" s="4">
        <f t="shared" si="82"/>
        <v>43014</v>
      </c>
      <c r="X227" s="5">
        <f t="shared" si="83"/>
        <v>0</v>
      </c>
    </row>
    <row r="228" spans="3:24" x14ac:dyDescent="0.35">
      <c r="C228" s="2">
        <f t="shared" si="63"/>
        <v>227</v>
      </c>
      <c r="D228" t="s">
        <v>226</v>
      </c>
      <c r="E228">
        <f t="shared" si="64"/>
        <v>28</v>
      </c>
      <c r="F228" t="str">
        <f t="shared" si="65"/>
        <v xml:space="preserve">/////PR:Music__SP:Alice2017101  $0  </v>
      </c>
      <c r="G228">
        <f t="shared" si="66"/>
        <v>32</v>
      </c>
      <c r="H228" t="str">
        <f t="shared" si="67"/>
        <v>/////PR:Music__SP:Alice2017101  $0</v>
      </c>
      <c r="I228">
        <f t="shared" si="68"/>
        <v>48</v>
      </c>
      <c r="J228" t="str">
        <f t="shared" si="69"/>
        <v>PR:Music__SP:Alice2017101  $0</v>
      </c>
      <c r="K228" t="str">
        <f t="shared" si="70"/>
        <v>PR:Music  SP:Alice2017101  $0</v>
      </c>
      <c r="L228" t="str">
        <f t="shared" si="71"/>
        <v>Music  SP:Alice2017101  $0</v>
      </c>
      <c r="M228" t="str">
        <f t="shared" si="72"/>
        <v>Music  Alice2017101  $0</v>
      </c>
      <c r="N228" t="str">
        <f t="shared" si="73"/>
        <v>Music Alice2017101 $0</v>
      </c>
      <c r="O228" t="str">
        <f t="shared" si="74"/>
        <v>Music Alice 2017101 $0</v>
      </c>
      <c r="P228">
        <f t="shared" si="75"/>
        <v>6</v>
      </c>
      <c r="Q228">
        <f t="shared" si="76"/>
        <v>12</v>
      </c>
      <c r="R228">
        <f t="shared" si="77"/>
        <v>20</v>
      </c>
      <c r="S228" t="str">
        <f t="shared" si="78"/>
        <v>Music</v>
      </c>
      <c r="T228" t="str">
        <f t="shared" si="79"/>
        <v>Alice</v>
      </c>
      <c r="U228" t="str">
        <f t="shared" si="80"/>
        <v>2017101</v>
      </c>
      <c r="V228" t="str">
        <f t="shared" si="81"/>
        <v>0</v>
      </c>
      <c r="W228" s="4">
        <f t="shared" si="82"/>
        <v>43009</v>
      </c>
      <c r="X228" s="5">
        <f t="shared" si="83"/>
        <v>0</v>
      </c>
    </row>
    <row r="229" spans="3:24" x14ac:dyDescent="0.35">
      <c r="C229" s="2">
        <f t="shared" si="63"/>
        <v>228</v>
      </c>
      <c r="D229" t="s">
        <v>227</v>
      </c>
      <c r="E229">
        <f t="shared" si="64"/>
        <v>28</v>
      </c>
      <c r="F229" t="str">
        <f t="shared" si="65"/>
        <v xml:space="preserve">///PR:Games____SP:David20171029  $0  </v>
      </c>
      <c r="G229">
        <f t="shared" si="66"/>
        <v>32</v>
      </c>
      <c r="H229" t="str">
        <f t="shared" si="67"/>
        <v>///PR:Games____SP:David20171029  $0</v>
      </c>
      <c r="I229">
        <f t="shared" si="68"/>
        <v>48</v>
      </c>
      <c r="J229" t="str">
        <f t="shared" si="69"/>
        <v>PR:Games____SP:David20171029  $0</v>
      </c>
      <c r="K229" t="str">
        <f t="shared" si="70"/>
        <v>PR:Games    SP:David20171029  $0</v>
      </c>
      <c r="L229" t="str">
        <f t="shared" si="71"/>
        <v>Games    SP:David20171029  $0</v>
      </c>
      <c r="M229" t="str">
        <f t="shared" si="72"/>
        <v>Games    David20171029  $0</v>
      </c>
      <c r="N229" t="str">
        <f t="shared" si="73"/>
        <v>Games David20171029 $0</v>
      </c>
      <c r="O229" t="str">
        <f t="shared" si="74"/>
        <v>Games David 20171029 $0</v>
      </c>
      <c r="P229">
        <f t="shared" si="75"/>
        <v>6</v>
      </c>
      <c r="Q229">
        <f t="shared" si="76"/>
        <v>12</v>
      </c>
      <c r="R229">
        <f t="shared" si="77"/>
        <v>21</v>
      </c>
      <c r="S229" t="str">
        <f t="shared" si="78"/>
        <v>Games</v>
      </c>
      <c r="T229" t="str">
        <f t="shared" si="79"/>
        <v>David</v>
      </c>
      <c r="U229" t="str">
        <f t="shared" si="80"/>
        <v>20171029</v>
      </c>
      <c r="V229" t="str">
        <f t="shared" si="81"/>
        <v>0</v>
      </c>
      <c r="W229" s="4">
        <f t="shared" si="82"/>
        <v>43037</v>
      </c>
      <c r="X229" s="5">
        <f t="shared" si="83"/>
        <v>0</v>
      </c>
    </row>
    <row r="230" spans="3:24" x14ac:dyDescent="0.35">
      <c r="C230" s="2">
        <f t="shared" si="63"/>
        <v>229</v>
      </c>
      <c r="D230" t="s">
        <v>228</v>
      </c>
      <c r="E230">
        <f t="shared" si="64"/>
        <v>28</v>
      </c>
      <c r="F230" t="str">
        <f t="shared" si="65"/>
        <v xml:space="preserve">/////PR:Books___SP:Alice20171012    $743  </v>
      </c>
      <c r="G230">
        <f t="shared" si="66"/>
        <v>32</v>
      </c>
      <c r="H230" t="str">
        <f t="shared" si="67"/>
        <v>/////PR:Books___SP:Alice20171012    $743</v>
      </c>
      <c r="I230">
        <f t="shared" si="68"/>
        <v>51</v>
      </c>
      <c r="J230" t="str">
        <f t="shared" si="69"/>
        <v>PR:Books___SP:Alice20171012    $743</v>
      </c>
      <c r="K230" t="str">
        <f t="shared" si="70"/>
        <v>PR:Books   SP:Alice20171012    $743</v>
      </c>
      <c r="L230" t="str">
        <f t="shared" si="71"/>
        <v>Books   SP:Alice20171012    $743</v>
      </c>
      <c r="M230" t="str">
        <f t="shared" si="72"/>
        <v>Books   Alice20171012    $743</v>
      </c>
      <c r="N230" t="str">
        <f t="shared" si="73"/>
        <v>Books Alice20171012 $743</v>
      </c>
      <c r="O230" t="str">
        <f t="shared" si="74"/>
        <v>Books Alice 20171012 $743</v>
      </c>
      <c r="P230">
        <f t="shared" si="75"/>
        <v>6</v>
      </c>
      <c r="Q230">
        <f t="shared" si="76"/>
        <v>12</v>
      </c>
      <c r="R230">
        <f t="shared" si="77"/>
        <v>21</v>
      </c>
      <c r="S230" t="str">
        <f t="shared" si="78"/>
        <v>Books</v>
      </c>
      <c r="T230" t="str">
        <f t="shared" si="79"/>
        <v>Alice</v>
      </c>
      <c r="U230" t="str">
        <f t="shared" si="80"/>
        <v>20171012</v>
      </c>
      <c r="V230" t="str">
        <f t="shared" si="81"/>
        <v>743</v>
      </c>
      <c r="W230" s="4">
        <f t="shared" si="82"/>
        <v>43020</v>
      </c>
      <c r="X230" s="5">
        <f t="shared" si="83"/>
        <v>743</v>
      </c>
    </row>
    <row r="231" spans="3:24" x14ac:dyDescent="0.35">
      <c r="C231" s="2">
        <f t="shared" si="63"/>
        <v>230</v>
      </c>
      <c r="D231" t="s">
        <v>229</v>
      </c>
      <c r="E231">
        <f t="shared" si="64"/>
        <v>31</v>
      </c>
      <c r="F231" t="str">
        <f t="shared" si="65"/>
        <v xml:space="preserve">////PR:Music_SP:Alice2017109    $1347 </v>
      </c>
      <c r="G231">
        <f t="shared" si="66"/>
        <v>32</v>
      </c>
      <c r="H231" t="str">
        <f t="shared" si="67"/>
        <v>////PR:Music_SP:Alice2017109    $1347</v>
      </c>
      <c r="I231">
        <f t="shared" si="68"/>
        <v>55</v>
      </c>
      <c r="J231" t="str">
        <f t="shared" si="69"/>
        <v>PR:Music_SP:Alice2017109    $1347</v>
      </c>
      <c r="K231" t="str">
        <f t="shared" si="70"/>
        <v>PR:Music SP:Alice2017109    $1347</v>
      </c>
      <c r="L231" t="str">
        <f t="shared" si="71"/>
        <v>Music SP:Alice2017109    $1347</v>
      </c>
      <c r="M231" t="str">
        <f t="shared" si="72"/>
        <v>Music Alice2017109    $1347</v>
      </c>
      <c r="N231" t="str">
        <f t="shared" si="73"/>
        <v>Music Alice2017109 $1347</v>
      </c>
      <c r="O231" t="str">
        <f t="shared" si="74"/>
        <v>Music Alice 2017109 $1347</v>
      </c>
      <c r="P231">
        <f t="shared" si="75"/>
        <v>6</v>
      </c>
      <c r="Q231">
        <f t="shared" si="76"/>
        <v>12</v>
      </c>
      <c r="R231">
        <f t="shared" si="77"/>
        <v>20</v>
      </c>
      <c r="S231" t="str">
        <f t="shared" si="78"/>
        <v>Music</v>
      </c>
      <c r="T231" t="str">
        <f t="shared" si="79"/>
        <v>Alice</v>
      </c>
      <c r="U231" t="str">
        <f t="shared" si="80"/>
        <v>2017109</v>
      </c>
      <c r="V231" t="str">
        <f t="shared" si="81"/>
        <v>1347</v>
      </c>
      <c r="W231" s="4">
        <f t="shared" si="82"/>
        <v>43017</v>
      </c>
      <c r="X231" s="5">
        <f t="shared" si="83"/>
        <v>1347</v>
      </c>
    </row>
    <row r="232" spans="3:24" x14ac:dyDescent="0.35">
      <c r="C232" s="2">
        <f t="shared" si="63"/>
        <v>231</v>
      </c>
      <c r="D232" t="s">
        <v>230</v>
      </c>
      <c r="E232">
        <f t="shared" si="64"/>
        <v>30</v>
      </c>
      <c r="F232" t="str">
        <f t="shared" si="65"/>
        <v xml:space="preserve">/////PR:Books___SP:Alice20171021     $875    </v>
      </c>
      <c r="G232">
        <f t="shared" si="66"/>
        <v>32</v>
      </c>
      <c r="H232" t="str">
        <f t="shared" si="67"/>
        <v>/////PR:Books___SP:Alice20171021     $875</v>
      </c>
      <c r="I232">
        <f t="shared" si="68"/>
        <v>53</v>
      </c>
      <c r="J232" t="str">
        <f t="shared" si="69"/>
        <v>PR:Books___SP:Alice20171021     $875</v>
      </c>
      <c r="K232" t="str">
        <f t="shared" si="70"/>
        <v>PR:Books   SP:Alice20171021     $875</v>
      </c>
      <c r="L232" t="str">
        <f t="shared" si="71"/>
        <v>Books   SP:Alice20171021     $875</v>
      </c>
      <c r="M232" t="str">
        <f t="shared" si="72"/>
        <v>Books   Alice20171021     $875</v>
      </c>
      <c r="N232" t="str">
        <f t="shared" si="73"/>
        <v>Books Alice20171021 $875</v>
      </c>
      <c r="O232" t="str">
        <f t="shared" si="74"/>
        <v>Books Alice 20171021 $875</v>
      </c>
      <c r="P232">
        <f t="shared" si="75"/>
        <v>6</v>
      </c>
      <c r="Q232">
        <f t="shared" si="76"/>
        <v>12</v>
      </c>
      <c r="R232">
        <f t="shared" si="77"/>
        <v>21</v>
      </c>
      <c r="S232" t="str">
        <f t="shared" si="78"/>
        <v>Books</v>
      </c>
      <c r="T232" t="str">
        <f t="shared" si="79"/>
        <v>Alice</v>
      </c>
      <c r="U232" t="str">
        <f t="shared" si="80"/>
        <v>20171021</v>
      </c>
      <c r="V232" t="str">
        <f t="shared" si="81"/>
        <v>875</v>
      </c>
      <c r="W232" s="4">
        <f t="shared" si="82"/>
        <v>43029</v>
      </c>
      <c r="X232" s="5">
        <f t="shared" si="83"/>
        <v>875</v>
      </c>
    </row>
    <row r="233" spans="3:24" x14ac:dyDescent="0.35">
      <c r="C233" s="2">
        <f t="shared" si="63"/>
        <v>232</v>
      </c>
      <c r="D233" t="s">
        <v>231</v>
      </c>
      <c r="E233">
        <f t="shared" si="64"/>
        <v>31</v>
      </c>
      <c r="F233" t="str">
        <f t="shared" si="65"/>
        <v xml:space="preserve">////PR:Games____SP:Carol20171014    $2331   </v>
      </c>
      <c r="G233">
        <f t="shared" si="66"/>
        <v>32</v>
      </c>
      <c r="H233" t="str">
        <f t="shared" si="67"/>
        <v>////PR:Games____SP:Carol20171014    $2331</v>
      </c>
      <c r="I233">
        <f t="shared" si="68"/>
        <v>49</v>
      </c>
      <c r="J233" t="str">
        <f t="shared" si="69"/>
        <v>PR:Games____SP:Carol20171014    $2331</v>
      </c>
      <c r="K233" t="str">
        <f t="shared" si="70"/>
        <v>PR:Games    SP:Carol20171014    $2331</v>
      </c>
      <c r="L233" t="str">
        <f t="shared" si="71"/>
        <v>Games    SP:Carol20171014    $2331</v>
      </c>
      <c r="M233" t="str">
        <f t="shared" si="72"/>
        <v>Games    Carol20171014    $2331</v>
      </c>
      <c r="N233" t="str">
        <f t="shared" si="73"/>
        <v>Games Carol20171014 $2331</v>
      </c>
      <c r="O233" t="str">
        <f t="shared" si="74"/>
        <v>Games Carol 20171014 $2331</v>
      </c>
      <c r="P233">
        <f t="shared" si="75"/>
        <v>6</v>
      </c>
      <c r="Q233">
        <f t="shared" si="76"/>
        <v>12</v>
      </c>
      <c r="R233">
        <f t="shared" si="77"/>
        <v>21</v>
      </c>
      <c r="S233" t="str">
        <f t="shared" si="78"/>
        <v>Games</v>
      </c>
      <c r="T233" t="str">
        <f t="shared" si="79"/>
        <v>Carol</v>
      </c>
      <c r="U233" t="str">
        <f t="shared" si="80"/>
        <v>20171014</v>
      </c>
      <c r="V233" t="str">
        <f t="shared" si="81"/>
        <v>2331</v>
      </c>
      <c r="W233" s="4">
        <f t="shared" si="82"/>
        <v>43022</v>
      </c>
      <c r="X233" s="5">
        <f t="shared" si="83"/>
        <v>2331</v>
      </c>
    </row>
    <row r="234" spans="3:24" x14ac:dyDescent="0.35">
      <c r="C234" s="2">
        <f t="shared" si="63"/>
        <v>233</v>
      </c>
      <c r="D234" t="s">
        <v>232</v>
      </c>
      <c r="E234">
        <f t="shared" si="64"/>
        <v>31</v>
      </c>
      <c r="F234" t="str">
        <f t="shared" si="65"/>
        <v xml:space="preserve">///PR:Books_SP:Barney20171031  $0     </v>
      </c>
      <c r="G234">
        <f t="shared" si="66"/>
        <v>32</v>
      </c>
      <c r="H234" t="str">
        <f t="shared" si="67"/>
        <v>///PR:Books_SP:Barney20171031  $0</v>
      </c>
      <c r="I234">
        <f t="shared" si="68"/>
        <v>48</v>
      </c>
      <c r="J234" t="str">
        <f t="shared" si="69"/>
        <v>PR:Books_SP:Barney20171031  $0</v>
      </c>
      <c r="K234" t="str">
        <f t="shared" si="70"/>
        <v>PR:Books SP:Barney20171031  $0</v>
      </c>
      <c r="L234" t="str">
        <f t="shared" si="71"/>
        <v>Books SP:Barney20171031  $0</v>
      </c>
      <c r="M234" t="str">
        <f t="shared" si="72"/>
        <v>Books Barney20171031  $0</v>
      </c>
      <c r="N234" t="str">
        <f t="shared" si="73"/>
        <v>Books Barney20171031 $0</v>
      </c>
      <c r="O234" t="str">
        <f t="shared" si="74"/>
        <v>Books Barney 20171031 $0</v>
      </c>
      <c r="P234">
        <f t="shared" si="75"/>
        <v>6</v>
      </c>
      <c r="Q234">
        <f t="shared" si="76"/>
        <v>13</v>
      </c>
      <c r="R234">
        <f t="shared" si="77"/>
        <v>22</v>
      </c>
      <c r="S234" t="str">
        <f t="shared" si="78"/>
        <v>Books</v>
      </c>
      <c r="T234" t="str">
        <f t="shared" si="79"/>
        <v>Barney</v>
      </c>
      <c r="U234" t="str">
        <f t="shared" si="80"/>
        <v>20171031</v>
      </c>
      <c r="V234" t="str">
        <f t="shared" si="81"/>
        <v>0</v>
      </c>
      <c r="W234" s="4">
        <f t="shared" si="82"/>
        <v>43039</v>
      </c>
      <c r="X234" s="5">
        <f t="shared" si="83"/>
        <v>0</v>
      </c>
    </row>
    <row r="235" spans="3:24" x14ac:dyDescent="0.35">
      <c r="C235" s="2">
        <f t="shared" si="63"/>
        <v>234</v>
      </c>
      <c r="D235" t="s">
        <v>233</v>
      </c>
      <c r="E235">
        <f t="shared" si="64"/>
        <v>28</v>
      </c>
      <c r="F235" t="str">
        <f t="shared" si="65"/>
        <v xml:space="preserve">//PR:Clothing_SP:Alice2017107    $1182  </v>
      </c>
      <c r="G235">
        <f t="shared" si="66"/>
        <v>32</v>
      </c>
      <c r="H235" t="str">
        <f t="shared" si="67"/>
        <v>//PR:Clothing_SP:Alice2017107    $1182</v>
      </c>
      <c r="I235">
        <f t="shared" si="68"/>
        <v>50</v>
      </c>
      <c r="J235" t="str">
        <f t="shared" si="69"/>
        <v>PR:Clothing_SP:Alice2017107    $1182</v>
      </c>
      <c r="K235" t="str">
        <f t="shared" si="70"/>
        <v>PR:Clothing SP:Alice2017107    $1182</v>
      </c>
      <c r="L235" t="str">
        <f t="shared" si="71"/>
        <v>Clothing SP:Alice2017107    $1182</v>
      </c>
      <c r="M235" t="str">
        <f t="shared" si="72"/>
        <v>Clothing Alice2017107    $1182</v>
      </c>
      <c r="N235" t="str">
        <f t="shared" si="73"/>
        <v>Clothing Alice2017107 $1182</v>
      </c>
      <c r="O235" t="str">
        <f t="shared" si="74"/>
        <v>Clothing Alice 2017107 $1182</v>
      </c>
      <c r="P235">
        <f t="shared" si="75"/>
        <v>9</v>
      </c>
      <c r="Q235">
        <f t="shared" si="76"/>
        <v>15</v>
      </c>
      <c r="R235">
        <f t="shared" si="77"/>
        <v>23</v>
      </c>
      <c r="S235" t="str">
        <f t="shared" si="78"/>
        <v>Clothing</v>
      </c>
      <c r="T235" t="str">
        <f t="shared" si="79"/>
        <v>Alice</v>
      </c>
      <c r="U235" t="str">
        <f t="shared" si="80"/>
        <v>2017107</v>
      </c>
      <c r="V235" t="str">
        <f t="shared" si="81"/>
        <v>1182</v>
      </c>
      <c r="W235" s="4">
        <f t="shared" si="82"/>
        <v>43015</v>
      </c>
      <c r="X235" s="5">
        <f t="shared" si="83"/>
        <v>1182</v>
      </c>
    </row>
    <row r="236" spans="3:24" x14ac:dyDescent="0.35">
      <c r="C236" s="2">
        <f t="shared" si="63"/>
        <v>235</v>
      </c>
      <c r="D236" t="s">
        <v>234</v>
      </c>
      <c r="E236">
        <f t="shared" si="64"/>
        <v>30</v>
      </c>
      <c r="F236" t="str">
        <f t="shared" si="65"/>
        <v xml:space="preserve">////PR:Books__SP:Alice20171011 $675    </v>
      </c>
      <c r="G236">
        <f t="shared" si="66"/>
        <v>32</v>
      </c>
      <c r="H236" t="str">
        <f t="shared" si="67"/>
        <v>////PR:Books__SP:Alice20171011 $675</v>
      </c>
      <c r="I236">
        <f t="shared" si="68"/>
        <v>53</v>
      </c>
      <c r="J236" t="str">
        <f t="shared" si="69"/>
        <v>PR:Books__SP:Alice20171011 $675</v>
      </c>
      <c r="K236" t="str">
        <f t="shared" si="70"/>
        <v>PR:Books  SP:Alice20171011 $675</v>
      </c>
      <c r="L236" t="str">
        <f t="shared" si="71"/>
        <v>Books  SP:Alice20171011 $675</v>
      </c>
      <c r="M236" t="str">
        <f t="shared" si="72"/>
        <v>Books  Alice20171011 $675</v>
      </c>
      <c r="N236" t="str">
        <f t="shared" si="73"/>
        <v>Books Alice20171011 $675</v>
      </c>
      <c r="O236" t="str">
        <f t="shared" si="74"/>
        <v>Books Alice 20171011 $675</v>
      </c>
      <c r="P236">
        <f t="shared" si="75"/>
        <v>6</v>
      </c>
      <c r="Q236">
        <f t="shared" si="76"/>
        <v>12</v>
      </c>
      <c r="R236">
        <f t="shared" si="77"/>
        <v>21</v>
      </c>
      <c r="S236" t="str">
        <f t="shared" si="78"/>
        <v>Books</v>
      </c>
      <c r="T236" t="str">
        <f t="shared" si="79"/>
        <v>Alice</v>
      </c>
      <c r="U236" t="str">
        <f t="shared" si="80"/>
        <v>20171011</v>
      </c>
      <c r="V236" t="str">
        <f t="shared" si="81"/>
        <v>675</v>
      </c>
      <c r="W236" s="4">
        <f t="shared" si="82"/>
        <v>43019</v>
      </c>
      <c r="X236" s="5">
        <f t="shared" si="83"/>
        <v>675</v>
      </c>
    </row>
    <row r="237" spans="3:24" x14ac:dyDescent="0.35">
      <c r="C237" s="2">
        <f t="shared" si="63"/>
        <v>236</v>
      </c>
      <c r="D237" t="s">
        <v>235</v>
      </c>
      <c r="E237">
        <f t="shared" si="64"/>
        <v>31</v>
      </c>
      <c r="F237" t="str">
        <f t="shared" si="65"/>
        <v xml:space="preserve">//PR:Music_____SP:Barney20171025 $981  </v>
      </c>
      <c r="G237">
        <f t="shared" si="66"/>
        <v>32</v>
      </c>
      <c r="H237" t="str">
        <f t="shared" si="67"/>
        <v>//PR:Music_____SP:Barney20171025 $981</v>
      </c>
      <c r="I237">
        <f t="shared" si="68"/>
        <v>49</v>
      </c>
      <c r="J237" t="str">
        <f t="shared" si="69"/>
        <v>PR:Music_____SP:Barney20171025 $981</v>
      </c>
      <c r="K237" t="str">
        <f t="shared" si="70"/>
        <v>PR:Music     SP:Barney20171025 $981</v>
      </c>
      <c r="L237" t="str">
        <f t="shared" si="71"/>
        <v>Music     SP:Barney20171025 $981</v>
      </c>
      <c r="M237" t="str">
        <f t="shared" si="72"/>
        <v>Music     Barney20171025 $981</v>
      </c>
      <c r="N237" t="str">
        <f t="shared" si="73"/>
        <v>Music Barney20171025 $981</v>
      </c>
      <c r="O237" t="str">
        <f t="shared" si="74"/>
        <v>Music Barney 20171025 $981</v>
      </c>
      <c r="P237">
        <f t="shared" si="75"/>
        <v>6</v>
      </c>
      <c r="Q237">
        <f t="shared" si="76"/>
        <v>13</v>
      </c>
      <c r="R237">
        <f t="shared" si="77"/>
        <v>22</v>
      </c>
      <c r="S237" t="str">
        <f t="shared" si="78"/>
        <v>Music</v>
      </c>
      <c r="T237" t="str">
        <f t="shared" si="79"/>
        <v>Barney</v>
      </c>
      <c r="U237" t="str">
        <f t="shared" si="80"/>
        <v>20171025</v>
      </c>
      <c r="V237" t="str">
        <f t="shared" si="81"/>
        <v>981</v>
      </c>
      <c r="W237" s="4">
        <f t="shared" si="82"/>
        <v>43033</v>
      </c>
      <c r="X237" s="5">
        <f t="shared" si="83"/>
        <v>981</v>
      </c>
    </row>
    <row r="238" spans="3:24" x14ac:dyDescent="0.35">
      <c r="C238" s="2">
        <f t="shared" si="63"/>
        <v>237</v>
      </c>
      <c r="D238" t="s">
        <v>236</v>
      </c>
      <c r="E238">
        <f t="shared" si="64"/>
        <v>31</v>
      </c>
      <c r="F238" t="str">
        <f t="shared" si="65"/>
        <v xml:space="preserve">//PR:Clothing_____SP:Alice20171013     $1693  </v>
      </c>
      <c r="G238">
        <f t="shared" si="66"/>
        <v>32</v>
      </c>
      <c r="H238" t="str">
        <f t="shared" si="67"/>
        <v>//PR:Clothing_____SP:Alice20171013     $1693</v>
      </c>
      <c r="I238">
        <f t="shared" si="68"/>
        <v>51</v>
      </c>
      <c r="J238" t="str">
        <f t="shared" si="69"/>
        <v>PR:Clothing_____SP:Alice20171013     $1693</v>
      </c>
      <c r="K238" t="str">
        <f t="shared" si="70"/>
        <v>PR:Clothing     SP:Alice20171013     $1693</v>
      </c>
      <c r="L238" t="str">
        <f t="shared" si="71"/>
        <v>Clothing     SP:Alice20171013     $1693</v>
      </c>
      <c r="M238" t="str">
        <f t="shared" si="72"/>
        <v>Clothing     Alice20171013     $1693</v>
      </c>
      <c r="N238" t="str">
        <f t="shared" si="73"/>
        <v>Clothing Alice20171013 $1693</v>
      </c>
      <c r="O238" t="str">
        <f t="shared" si="74"/>
        <v>Clothing Alice 20171013 $1693</v>
      </c>
      <c r="P238">
        <f t="shared" si="75"/>
        <v>9</v>
      </c>
      <c r="Q238">
        <f t="shared" si="76"/>
        <v>15</v>
      </c>
      <c r="R238">
        <f t="shared" si="77"/>
        <v>24</v>
      </c>
      <c r="S238" t="str">
        <f t="shared" si="78"/>
        <v>Clothing</v>
      </c>
      <c r="T238" t="str">
        <f t="shared" si="79"/>
        <v>Alice</v>
      </c>
      <c r="U238" t="str">
        <f t="shared" si="80"/>
        <v>20171013</v>
      </c>
      <c r="V238" t="str">
        <f t="shared" si="81"/>
        <v>1693</v>
      </c>
      <c r="W238" s="4">
        <f t="shared" si="82"/>
        <v>43021</v>
      </c>
      <c r="X238" s="5">
        <f t="shared" si="83"/>
        <v>1693</v>
      </c>
    </row>
    <row r="239" spans="3:24" x14ac:dyDescent="0.35">
      <c r="C239" s="2">
        <f t="shared" si="63"/>
        <v>238</v>
      </c>
      <c r="D239" t="s">
        <v>237</v>
      </c>
      <c r="E239">
        <f t="shared" si="64"/>
        <v>31</v>
      </c>
      <c r="F239" t="str">
        <f t="shared" si="65"/>
        <v xml:space="preserve">////PR:Music___SP:Alice20171015  $1499  </v>
      </c>
      <c r="G239">
        <f t="shared" si="66"/>
        <v>32</v>
      </c>
      <c r="H239" t="str">
        <f t="shared" si="67"/>
        <v>////PR:Music___SP:Alice20171015  $1499</v>
      </c>
      <c r="I239">
        <f t="shared" si="68"/>
        <v>57</v>
      </c>
      <c r="J239" t="str">
        <f t="shared" si="69"/>
        <v>PR:Music___SP:Alice20171015  $1499</v>
      </c>
      <c r="K239" t="str">
        <f t="shared" si="70"/>
        <v>PR:Music   SP:Alice20171015  $1499</v>
      </c>
      <c r="L239" t="str">
        <f t="shared" si="71"/>
        <v>Music   SP:Alice20171015  $1499</v>
      </c>
      <c r="M239" t="str">
        <f t="shared" si="72"/>
        <v>Music   Alice20171015  $1499</v>
      </c>
      <c r="N239" t="str">
        <f t="shared" si="73"/>
        <v>Music Alice20171015 $1499</v>
      </c>
      <c r="O239" t="str">
        <f t="shared" si="74"/>
        <v>Music Alice 20171015 $1499</v>
      </c>
      <c r="P239">
        <f t="shared" si="75"/>
        <v>6</v>
      </c>
      <c r="Q239">
        <f t="shared" si="76"/>
        <v>12</v>
      </c>
      <c r="R239">
        <f t="shared" si="77"/>
        <v>21</v>
      </c>
      <c r="S239" t="str">
        <f t="shared" si="78"/>
        <v>Music</v>
      </c>
      <c r="T239" t="str">
        <f t="shared" si="79"/>
        <v>Alice</v>
      </c>
      <c r="U239" t="str">
        <f t="shared" si="80"/>
        <v>20171015</v>
      </c>
      <c r="V239" t="str">
        <f t="shared" si="81"/>
        <v>1499</v>
      </c>
      <c r="W239" s="4">
        <f t="shared" si="82"/>
        <v>43023</v>
      </c>
      <c r="X239" s="5">
        <f t="shared" si="83"/>
        <v>1499</v>
      </c>
    </row>
    <row r="240" spans="3:24" x14ac:dyDescent="0.35">
      <c r="C240" s="2">
        <f t="shared" si="63"/>
        <v>239</v>
      </c>
      <c r="D240" t="s">
        <v>238</v>
      </c>
      <c r="E240">
        <f t="shared" si="64"/>
        <v>30</v>
      </c>
      <c r="F240" t="str">
        <f t="shared" si="65"/>
        <v xml:space="preserve">////PR:Clothing____SP:Carol20171028  $1774    </v>
      </c>
      <c r="G240">
        <f t="shared" si="66"/>
        <v>32</v>
      </c>
      <c r="H240" t="str">
        <f t="shared" si="67"/>
        <v>////PR:Clothing____SP:Carol20171028  $1774</v>
      </c>
      <c r="I240">
        <f t="shared" si="68"/>
        <v>52</v>
      </c>
      <c r="J240" t="str">
        <f t="shared" si="69"/>
        <v>PR:Clothing____SP:Carol20171028  $1774</v>
      </c>
      <c r="K240" t="str">
        <f t="shared" si="70"/>
        <v>PR:Clothing    SP:Carol20171028  $1774</v>
      </c>
      <c r="L240" t="str">
        <f t="shared" si="71"/>
        <v>Clothing    SP:Carol20171028  $1774</v>
      </c>
      <c r="M240" t="str">
        <f t="shared" si="72"/>
        <v>Clothing    Carol20171028  $1774</v>
      </c>
      <c r="N240" t="str">
        <f t="shared" si="73"/>
        <v>Clothing Carol20171028 $1774</v>
      </c>
      <c r="O240" t="str">
        <f t="shared" si="74"/>
        <v>Clothing Carol 20171028 $1774</v>
      </c>
      <c r="P240">
        <f t="shared" si="75"/>
        <v>9</v>
      </c>
      <c r="Q240">
        <f t="shared" si="76"/>
        <v>15</v>
      </c>
      <c r="R240">
        <f t="shared" si="77"/>
        <v>24</v>
      </c>
      <c r="S240" t="str">
        <f t="shared" si="78"/>
        <v>Clothing</v>
      </c>
      <c r="T240" t="str">
        <f t="shared" si="79"/>
        <v>Carol</v>
      </c>
      <c r="U240" t="str">
        <f t="shared" si="80"/>
        <v>20171028</v>
      </c>
      <c r="V240" t="str">
        <f t="shared" si="81"/>
        <v>1774</v>
      </c>
      <c r="W240" s="4">
        <f t="shared" si="82"/>
        <v>43036</v>
      </c>
      <c r="X240" s="5">
        <f t="shared" si="83"/>
        <v>1774</v>
      </c>
    </row>
    <row r="241" spans="3:24" x14ac:dyDescent="0.35">
      <c r="C241" s="2">
        <f t="shared" si="63"/>
        <v>240</v>
      </c>
      <c r="D241" t="s">
        <v>239</v>
      </c>
      <c r="E241">
        <f t="shared" si="64"/>
        <v>31</v>
      </c>
      <c r="F241" t="str">
        <f t="shared" si="65"/>
        <v xml:space="preserve">/////PR:Music_____SP:Carol2017106    $1256     </v>
      </c>
      <c r="G241">
        <f t="shared" si="66"/>
        <v>32</v>
      </c>
      <c r="H241" t="str">
        <f t="shared" si="67"/>
        <v>/////PR:Music_____SP:Carol2017106    $1256</v>
      </c>
      <c r="I241">
        <f t="shared" si="68"/>
        <v>54</v>
      </c>
      <c r="J241" t="str">
        <f t="shared" si="69"/>
        <v>PR:Music_____SP:Carol2017106    $1256</v>
      </c>
      <c r="K241" t="str">
        <f t="shared" si="70"/>
        <v>PR:Music     SP:Carol2017106    $1256</v>
      </c>
      <c r="L241" t="str">
        <f t="shared" si="71"/>
        <v>Music     SP:Carol2017106    $1256</v>
      </c>
      <c r="M241" t="str">
        <f t="shared" si="72"/>
        <v>Music     Carol2017106    $1256</v>
      </c>
      <c r="N241" t="str">
        <f t="shared" si="73"/>
        <v>Music Carol2017106 $1256</v>
      </c>
      <c r="O241" t="str">
        <f t="shared" si="74"/>
        <v>Music Carol 2017106 $1256</v>
      </c>
      <c r="P241">
        <f t="shared" si="75"/>
        <v>6</v>
      </c>
      <c r="Q241">
        <f t="shared" si="76"/>
        <v>12</v>
      </c>
      <c r="R241">
        <f t="shared" si="77"/>
        <v>20</v>
      </c>
      <c r="S241" t="str">
        <f t="shared" si="78"/>
        <v>Music</v>
      </c>
      <c r="T241" t="str">
        <f t="shared" si="79"/>
        <v>Carol</v>
      </c>
      <c r="U241" t="str">
        <f t="shared" si="80"/>
        <v>2017106</v>
      </c>
      <c r="V241" t="str">
        <f t="shared" si="81"/>
        <v>1256</v>
      </c>
      <c r="W241" s="4">
        <f t="shared" si="82"/>
        <v>43014</v>
      </c>
      <c r="X241" s="5">
        <f t="shared" si="83"/>
        <v>1256</v>
      </c>
    </row>
    <row r="242" spans="3:24" x14ac:dyDescent="0.35">
      <c r="C242" s="2">
        <f t="shared" si="63"/>
        <v>241</v>
      </c>
      <c r="D242" t="s">
        <v>240</v>
      </c>
      <c r="E242">
        <f t="shared" si="64"/>
        <v>28</v>
      </c>
      <c r="F242" t="str">
        <f t="shared" si="65"/>
        <v xml:space="preserve">////PR:Games_____SP:Carol20171028   $1298     </v>
      </c>
      <c r="G242">
        <f t="shared" si="66"/>
        <v>32</v>
      </c>
      <c r="H242" t="str">
        <f t="shared" si="67"/>
        <v>////PR:Games_____SP:Carol20171028   $1298</v>
      </c>
      <c r="I242">
        <f t="shared" si="68"/>
        <v>56</v>
      </c>
      <c r="J242" t="str">
        <f t="shared" si="69"/>
        <v>PR:Games_____SP:Carol20171028   $1298</v>
      </c>
      <c r="K242" t="str">
        <f t="shared" si="70"/>
        <v>PR:Games     SP:Carol20171028   $1298</v>
      </c>
      <c r="L242" t="str">
        <f t="shared" si="71"/>
        <v>Games     SP:Carol20171028   $1298</v>
      </c>
      <c r="M242" t="str">
        <f t="shared" si="72"/>
        <v>Games     Carol20171028   $1298</v>
      </c>
      <c r="N242" t="str">
        <f t="shared" si="73"/>
        <v>Games Carol20171028 $1298</v>
      </c>
      <c r="O242" t="str">
        <f t="shared" si="74"/>
        <v>Games Carol 20171028 $1298</v>
      </c>
      <c r="P242">
        <f t="shared" si="75"/>
        <v>6</v>
      </c>
      <c r="Q242">
        <f t="shared" si="76"/>
        <v>12</v>
      </c>
      <c r="R242">
        <f t="shared" si="77"/>
        <v>21</v>
      </c>
      <c r="S242" t="str">
        <f t="shared" si="78"/>
        <v>Games</v>
      </c>
      <c r="T242" t="str">
        <f t="shared" si="79"/>
        <v>Carol</v>
      </c>
      <c r="U242" t="str">
        <f t="shared" si="80"/>
        <v>20171028</v>
      </c>
      <c r="V242" t="str">
        <f t="shared" si="81"/>
        <v>1298</v>
      </c>
      <c r="W242" s="4">
        <f t="shared" si="82"/>
        <v>43036</v>
      </c>
      <c r="X242" s="5">
        <f t="shared" si="83"/>
        <v>1298</v>
      </c>
    </row>
    <row r="243" spans="3:24" x14ac:dyDescent="0.35">
      <c r="C243" s="2">
        <f t="shared" si="63"/>
        <v>242</v>
      </c>
      <c r="D243" t="s">
        <v>241</v>
      </c>
      <c r="E243">
        <f t="shared" si="64"/>
        <v>28</v>
      </c>
      <c r="F243" t="str">
        <f t="shared" si="65"/>
        <v xml:space="preserve">/////PR:Games__SP:Barney20171021  $0 </v>
      </c>
      <c r="G243">
        <f t="shared" si="66"/>
        <v>32</v>
      </c>
      <c r="H243" t="str">
        <f t="shared" si="67"/>
        <v>/////PR:Games__SP:Barney20171021  $0</v>
      </c>
      <c r="I243">
        <f t="shared" si="68"/>
        <v>48</v>
      </c>
      <c r="J243" t="str">
        <f t="shared" si="69"/>
        <v>PR:Games__SP:Barney20171021  $0</v>
      </c>
      <c r="K243" t="str">
        <f t="shared" si="70"/>
        <v>PR:Games  SP:Barney20171021  $0</v>
      </c>
      <c r="L243" t="str">
        <f t="shared" si="71"/>
        <v>Games  SP:Barney20171021  $0</v>
      </c>
      <c r="M243" t="str">
        <f t="shared" si="72"/>
        <v>Games  Barney20171021  $0</v>
      </c>
      <c r="N243" t="str">
        <f t="shared" si="73"/>
        <v>Games Barney20171021 $0</v>
      </c>
      <c r="O243" t="str">
        <f t="shared" si="74"/>
        <v>Games Barney 20171021 $0</v>
      </c>
      <c r="P243">
        <f t="shared" si="75"/>
        <v>6</v>
      </c>
      <c r="Q243">
        <f t="shared" si="76"/>
        <v>13</v>
      </c>
      <c r="R243">
        <f t="shared" si="77"/>
        <v>22</v>
      </c>
      <c r="S243" t="str">
        <f t="shared" si="78"/>
        <v>Games</v>
      </c>
      <c r="T243" t="str">
        <f t="shared" si="79"/>
        <v>Barney</v>
      </c>
      <c r="U243" t="str">
        <f t="shared" si="80"/>
        <v>20171021</v>
      </c>
      <c r="V243" t="str">
        <f t="shared" si="81"/>
        <v>0</v>
      </c>
      <c r="W243" s="4">
        <f t="shared" si="82"/>
        <v>43029</v>
      </c>
      <c r="X243" s="5">
        <f t="shared" si="83"/>
        <v>0</v>
      </c>
    </row>
    <row r="244" spans="3:24" x14ac:dyDescent="0.35">
      <c r="C244" s="2">
        <f t="shared" si="63"/>
        <v>243</v>
      </c>
      <c r="D244" t="s">
        <v>242</v>
      </c>
      <c r="E244">
        <f t="shared" si="64"/>
        <v>30</v>
      </c>
      <c r="F244" t="str">
        <f t="shared" si="65"/>
        <v xml:space="preserve">/PR:Books__SP:Carol2017106  $0    </v>
      </c>
      <c r="G244">
        <f t="shared" si="66"/>
        <v>32</v>
      </c>
      <c r="H244" t="str">
        <f t="shared" si="67"/>
        <v>/PR:Books__SP:Carol2017106  $0</v>
      </c>
      <c r="I244">
        <f t="shared" si="68"/>
        <v>48</v>
      </c>
      <c r="J244" t="str">
        <f t="shared" si="69"/>
        <v>PR:Books__SP:Carol2017106  $0</v>
      </c>
      <c r="K244" t="str">
        <f t="shared" si="70"/>
        <v>PR:Books  SP:Carol2017106  $0</v>
      </c>
      <c r="L244" t="str">
        <f t="shared" si="71"/>
        <v>Books  SP:Carol2017106  $0</v>
      </c>
      <c r="M244" t="str">
        <f t="shared" si="72"/>
        <v>Books  Carol2017106  $0</v>
      </c>
      <c r="N244" t="str">
        <f t="shared" si="73"/>
        <v>Books Carol2017106 $0</v>
      </c>
      <c r="O244" t="str">
        <f t="shared" si="74"/>
        <v>Books Carol 2017106 $0</v>
      </c>
      <c r="P244">
        <f t="shared" si="75"/>
        <v>6</v>
      </c>
      <c r="Q244">
        <f t="shared" si="76"/>
        <v>12</v>
      </c>
      <c r="R244">
        <f t="shared" si="77"/>
        <v>20</v>
      </c>
      <c r="S244" t="str">
        <f t="shared" si="78"/>
        <v>Books</v>
      </c>
      <c r="T244" t="str">
        <f t="shared" si="79"/>
        <v>Carol</v>
      </c>
      <c r="U244" t="str">
        <f t="shared" si="80"/>
        <v>2017106</v>
      </c>
      <c r="V244" t="str">
        <f t="shared" si="81"/>
        <v>0</v>
      </c>
      <c r="W244" s="4">
        <f t="shared" si="82"/>
        <v>43014</v>
      </c>
      <c r="X244" s="5">
        <f t="shared" si="83"/>
        <v>0</v>
      </c>
    </row>
    <row r="245" spans="3:24" x14ac:dyDescent="0.35">
      <c r="C245" s="2">
        <f t="shared" si="63"/>
        <v>244</v>
      </c>
      <c r="D245" t="s">
        <v>243</v>
      </c>
      <c r="E245">
        <f t="shared" si="64"/>
        <v>31</v>
      </c>
      <c r="F245" t="str">
        <f t="shared" si="65"/>
        <v xml:space="preserve">////PR:Clothing_____SP:Carol2017109 $987  </v>
      </c>
      <c r="G245">
        <f t="shared" si="66"/>
        <v>32</v>
      </c>
      <c r="H245" t="str">
        <f t="shared" si="67"/>
        <v>////PR:Clothing_____SP:Carol2017109 $987</v>
      </c>
      <c r="I245">
        <f t="shared" si="68"/>
        <v>55</v>
      </c>
      <c r="J245" t="str">
        <f t="shared" si="69"/>
        <v>PR:Clothing_____SP:Carol2017109 $987</v>
      </c>
      <c r="K245" t="str">
        <f t="shared" si="70"/>
        <v>PR:Clothing     SP:Carol2017109 $987</v>
      </c>
      <c r="L245" t="str">
        <f t="shared" si="71"/>
        <v>Clothing     SP:Carol2017109 $987</v>
      </c>
      <c r="M245" t="str">
        <f t="shared" si="72"/>
        <v>Clothing     Carol2017109 $987</v>
      </c>
      <c r="N245" t="str">
        <f t="shared" si="73"/>
        <v>Clothing Carol2017109 $987</v>
      </c>
      <c r="O245" t="str">
        <f t="shared" si="74"/>
        <v>Clothing Carol 2017109 $987</v>
      </c>
      <c r="P245">
        <f t="shared" si="75"/>
        <v>9</v>
      </c>
      <c r="Q245">
        <f t="shared" si="76"/>
        <v>15</v>
      </c>
      <c r="R245">
        <f t="shared" si="77"/>
        <v>23</v>
      </c>
      <c r="S245" t="str">
        <f t="shared" si="78"/>
        <v>Clothing</v>
      </c>
      <c r="T245" t="str">
        <f t="shared" si="79"/>
        <v>Carol</v>
      </c>
      <c r="U245" t="str">
        <f t="shared" si="80"/>
        <v>2017109</v>
      </c>
      <c r="V245" t="str">
        <f t="shared" si="81"/>
        <v>987</v>
      </c>
      <c r="W245" s="4">
        <f t="shared" si="82"/>
        <v>43017</v>
      </c>
      <c r="X245" s="5">
        <f t="shared" si="83"/>
        <v>987</v>
      </c>
    </row>
    <row r="246" spans="3:24" x14ac:dyDescent="0.35">
      <c r="C246" s="2">
        <f t="shared" si="63"/>
        <v>245</v>
      </c>
      <c r="D246" t="s">
        <v>244</v>
      </c>
      <c r="E246">
        <f t="shared" si="64"/>
        <v>28</v>
      </c>
      <c r="F246" t="str">
        <f t="shared" si="65"/>
        <v xml:space="preserve">///PR:Music____SP:David20171013  $1454    </v>
      </c>
      <c r="G246">
        <f t="shared" si="66"/>
        <v>32</v>
      </c>
      <c r="H246" t="str">
        <f t="shared" si="67"/>
        <v>///PR:Music____SP:David20171013  $1454</v>
      </c>
      <c r="I246">
        <f t="shared" si="68"/>
        <v>52</v>
      </c>
      <c r="J246" t="str">
        <f t="shared" si="69"/>
        <v>PR:Music____SP:David20171013  $1454</v>
      </c>
      <c r="K246" t="str">
        <f t="shared" si="70"/>
        <v>PR:Music    SP:David20171013  $1454</v>
      </c>
      <c r="L246" t="str">
        <f t="shared" si="71"/>
        <v>Music    SP:David20171013  $1454</v>
      </c>
      <c r="M246" t="str">
        <f t="shared" si="72"/>
        <v>Music    David20171013  $1454</v>
      </c>
      <c r="N246" t="str">
        <f t="shared" si="73"/>
        <v>Music David20171013 $1454</v>
      </c>
      <c r="O246" t="str">
        <f t="shared" si="74"/>
        <v>Music David 20171013 $1454</v>
      </c>
      <c r="P246">
        <f t="shared" si="75"/>
        <v>6</v>
      </c>
      <c r="Q246">
        <f t="shared" si="76"/>
        <v>12</v>
      </c>
      <c r="R246">
        <f t="shared" si="77"/>
        <v>21</v>
      </c>
      <c r="S246" t="str">
        <f t="shared" si="78"/>
        <v>Music</v>
      </c>
      <c r="T246" t="str">
        <f t="shared" si="79"/>
        <v>David</v>
      </c>
      <c r="U246" t="str">
        <f t="shared" si="80"/>
        <v>20171013</v>
      </c>
      <c r="V246" t="str">
        <f t="shared" si="81"/>
        <v>1454</v>
      </c>
      <c r="W246" s="4">
        <f t="shared" si="82"/>
        <v>43021</v>
      </c>
      <c r="X246" s="5">
        <f t="shared" si="83"/>
        <v>1454</v>
      </c>
    </row>
    <row r="247" spans="3:24" x14ac:dyDescent="0.35">
      <c r="C247" s="2">
        <f t="shared" si="63"/>
        <v>246</v>
      </c>
      <c r="D247" t="s">
        <v>245</v>
      </c>
      <c r="E247">
        <f t="shared" si="64"/>
        <v>31</v>
      </c>
      <c r="F247" t="str">
        <f t="shared" si="65"/>
        <v xml:space="preserve">/////PR:Games___SP:Carol20171029 $0 </v>
      </c>
      <c r="G247">
        <f t="shared" si="66"/>
        <v>32</v>
      </c>
      <c r="H247" t="str">
        <f t="shared" si="67"/>
        <v>/////PR:Games___SP:Carol20171029 $0</v>
      </c>
      <c r="I247">
        <f t="shared" si="68"/>
        <v>48</v>
      </c>
      <c r="J247" t="str">
        <f t="shared" si="69"/>
        <v>PR:Games___SP:Carol20171029 $0</v>
      </c>
      <c r="K247" t="str">
        <f t="shared" si="70"/>
        <v>PR:Games   SP:Carol20171029 $0</v>
      </c>
      <c r="L247" t="str">
        <f t="shared" si="71"/>
        <v>Games   SP:Carol20171029 $0</v>
      </c>
      <c r="M247" t="str">
        <f t="shared" si="72"/>
        <v>Games   Carol20171029 $0</v>
      </c>
      <c r="N247" t="str">
        <f t="shared" si="73"/>
        <v>Games Carol20171029 $0</v>
      </c>
      <c r="O247" t="str">
        <f t="shared" si="74"/>
        <v>Games Carol 20171029 $0</v>
      </c>
      <c r="P247">
        <f t="shared" si="75"/>
        <v>6</v>
      </c>
      <c r="Q247">
        <f t="shared" si="76"/>
        <v>12</v>
      </c>
      <c r="R247">
        <f t="shared" si="77"/>
        <v>21</v>
      </c>
      <c r="S247" t="str">
        <f t="shared" si="78"/>
        <v>Games</v>
      </c>
      <c r="T247" t="str">
        <f t="shared" si="79"/>
        <v>Carol</v>
      </c>
      <c r="U247" t="str">
        <f t="shared" si="80"/>
        <v>20171029</v>
      </c>
      <c r="V247" t="str">
        <f t="shared" si="81"/>
        <v>0</v>
      </c>
      <c r="W247" s="4">
        <f t="shared" si="82"/>
        <v>43037</v>
      </c>
      <c r="X247" s="5">
        <f t="shared" si="83"/>
        <v>0</v>
      </c>
    </row>
    <row r="248" spans="3:24" x14ac:dyDescent="0.35">
      <c r="C248" s="2">
        <f t="shared" si="63"/>
        <v>247</v>
      </c>
      <c r="D248" t="s">
        <v>246</v>
      </c>
      <c r="E248">
        <f t="shared" si="64"/>
        <v>29</v>
      </c>
      <c r="F248" t="str">
        <f t="shared" si="65"/>
        <v xml:space="preserve">/////PR:Games_SP:Carol20171030   $803  </v>
      </c>
      <c r="G248">
        <f t="shared" si="66"/>
        <v>32</v>
      </c>
      <c r="H248" t="str">
        <f t="shared" si="67"/>
        <v>/////PR:Games_SP:Carol20171030   $803</v>
      </c>
      <c r="I248">
        <f t="shared" si="68"/>
        <v>51</v>
      </c>
      <c r="J248" t="str">
        <f t="shared" si="69"/>
        <v>PR:Games_SP:Carol20171030   $803</v>
      </c>
      <c r="K248" t="str">
        <f t="shared" si="70"/>
        <v>PR:Games SP:Carol20171030   $803</v>
      </c>
      <c r="L248" t="str">
        <f t="shared" si="71"/>
        <v>Games SP:Carol20171030   $803</v>
      </c>
      <c r="M248" t="str">
        <f t="shared" si="72"/>
        <v>Games Carol20171030   $803</v>
      </c>
      <c r="N248" t="str">
        <f t="shared" si="73"/>
        <v>Games Carol20171030 $803</v>
      </c>
      <c r="O248" t="str">
        <f t="shared" si="74"/>
        <v>Games Carol 20171030 $803</v>
      </c>
      <c r="P248">
        <f t="shared" si="75"/>
        <v>6</v>
      </c>
      <c r="Q248">
        <f t="shared" si="76"/>
        <v>12</v>
      </c>
      <c r="R248">
        <f t="shared" si="77"/>
        <v>21</v>
      </c>
      <c r="S248" t="str">
        <f t="shared" si="78"/>
        <v>Games</v>
      </c>
      <c r="T248" t="str">
        <f t="shared" si="79"/>
        <v>Carol</v>
      </c>
      <c r="U248" t="str">
        <f t="shared" si="80"/>
        <v>20171030</v>
      </c>
      <c r="V248" t="str">
        <f t="shared" si="81"/>
        <v>803</v>
      </c>
      <c r="W248" s="4">
        <f t="shared" si="82"/>
        <v>43038</v>
      </c>
      <c r="X248" s="5">
        <f t="shared" si="83"/>
        <v>803</v>
      </c>
    </row>
    <row r="249" spans="3:24" x14ac:dyDescent="0.35">
      <c r="C249" s="2">
        <f t="shared" si="63"/>
        <v>248</v>
      </c>
      <c r="D249" t="s">
        <v>247</v>
      </c>
      <c r="E249">
        <f t="shared" si="64"/>
        <v>31</v>
      </c>
      <c r="F249" t="str">
        <f t="shared" si="65"/>
        <v xml:space="preserve">///PR:Games_SP:Barney2017105 $0    </v>
      </c>
      <c r="G249">
        <f t="shared" si="66"/>
        <v>32</v>
      </c>
      <c r="H249" t="str">
        <f t="shared" si="67"/>
        <v>///PR:Games_SP:Barney2017105 $0</v>
      </c>
      <c r="I249">
        <f t="shared" si="68"/>
        <v>48</v>
      </c>
      <c r="J249" t="str">
        <f t="shared" si="69"/>
        <v>PR:Games_SP:Barney2017105 $0</v>
      </c>
      <c r="K249" t="str">
        <f t="shared" si="70"/>
        <v>PR:Games SP:Barney2017105 $0</v>
      </c>
      <c r="L249" t="str">
        <f t="shared" si="71"/>
        <v>Games SP:Barney2017105 $0</v>
      </c>
      <c r="M249" t="str">
        <f t="shared" si="72"/>
        <v>Games Barney2017105 $0</v>
      </c>
      <c r="N249" t="str">
        <f t="shared" si="73"/>
        <v>Games Barney2017105 $0</v>
      </c>
      <c r="O249" t="str">
        <f t="shared" si="74"/>
        <v>Games Barney 2017105 $0</v>
      </c>
      <c r="P249">
        <f t="shared" si="75"/>
        <v>6</v>
      </c>
      <c r="Q249">
        <f t="shared" si="76"/>
        <v>13</v>
      </c>
      <c r="R249">
        <f t="shared" si="77"/>
        <v>21</v>
      </c>
      <c r="S249" t="str">
        <f t="shared" si="78"/>
        <v>Games</v>
      </c>
      <c r="T249" t="str">
        <f t="shared" si="79"/>
        <v>Barney</v>
      </c>
      <c r="U249" t="str">
        <f t="shared" si="80"/>
        <v>2017105</v>
      </c>
      <c r="V249" t="str">
        <f t="shared" si="81"/>
        <v>0</v>
      </c>
      <c r="W249" s="4">
        <f t="shared" si="82"/>
        <v>43013</v>
      </c>
      <c r="X249" s="5">
        <f t="shared" si="83"/>
        <v>0</v>
      </c>
    </row>
    <row r="250" spans="3:24" x14ac:dyDescent="0.35">
      <c r="C250" s="2">
        <f t="shared" si="63"/>
        <v>249</v>
      </c>
      <c r="D250" t="s">
        <v>248</v>
      </c>
      <c r="E250">
        <f t="shared" si="64"/>
        <v>28</v>
      </c>
      <c r="F250" t="str">
        <f t="shared" si="65"/>
        <v xml:space="preserve">////PR:Clothing_____SP:Barney20171030  $0 </v>
      </c>
      <c r="G250">
        <f t="shared" si="66"/>
        <v>32</v>
      </c>
      <c r="H250" t="str">
        <f t="shared" si="67"/>
        <v>////PR:Clothing_____SP:Barney20171030  $0</v>
      </c>
      <c r="I250">
        <f t="shared" si="68"/>
        <v>48</v>
      </c>
      <c r="J250" t="str">
        <f t="shared" si="69"/>
        <v>PR:Clothing_____SP:Barney20171030  $0</v>
      </c>
      <c r="K250" t="str">
        <f t="shared" si="70"/>
        <v>PR:Clothing     SP:Barney20171030  $0</v>
      </c>
      <c r="L250" t="str">
        <f t="shared" si="71"/>
        <v>Clothing     SP:Barney20171030  $0</v>
      </c>
      <c r="M250" t="str">
        <f t="shared" si="72"/>
        <v>Clothing     Barney20171030  $0</v>
      </c>
      <c r="N250" t="str">
        <f t="shared" si="73"/>
        <v>Clothing Barney20171030 $0</v>
      </c>
      <c r="O250" t="str">
        <f t="shared" si="74"/>
        <v>Clothing Barney 20171030 $0</v>
      </c>
      <c r="P250">
        <f t="shared" si="75"/>
        <v>9</v>
      </c>
      <c r="Q250">
        <f t="shared" si="76"/>
        <v>16</v>
      </c>
      <c r="R250">
        <f t="shared" si="77"/>
        <v>25</v>
      </c>
      <c r="S250" t="str">
        <f t="shared" si="78"/>
        <v>Clothing</v>
      </c>
      <c r="T250" t="str">
        <f t="shared" si="79"/>
        <v>Barney</v>
      </c>
      <c r="U250" t="str">
        <f t="shared" si="80"/>
        <v>20171030</v>
      </c>
      <c r="V250" t="str">
        <f t="shared" si="81"/>
        <v>0</v>
      </c>
      <c r="W250" s="4">
        <f t="shared" si="82"/>
        <v>43038</v>
      </c>
      <c r="X250" s="5">
        <f t="shared" si="83"/>
        <v>0</v>
      </c>
    </row>
    <row r="251" spans="3:24" x14ac:dyDescent="0.35">
      <c r="C251" s="2">
        <f t="shared" si="63"/>
        <v>250</v>
      </c>
      <c r="D251" t="s">
        <v>249</v>
      </c>
      <c r="E251">
        <f t="shared" si="64"/>
        <v>30</v>
      </c>
      <c r="F251" t="str">
        <f t="shared" si="65"/>
        <v xml:space="preserve">///PR:Music___SP:Barney20171030 $1227  </v>
      </c>
      <c r="G251">
        <f t="shared" si="66"/>
        <v>32</v>
      </c>
      <c r="H251" t="str">
        <f t="shared" si="67"/>
        <v>///PR:Music___SP:Barney20171030 $1227</v>
      </c>
      <c r="I251">
        <f t="shared" si="68"/>
        <v>55</v>
      </c>
      <c r="J251" t="str">
        <f t="shared" si="69"/>
        <v>PR:Music___SP:Barney20171030 $1227</v>
      </c>
      <c r="K251" t="str">
        <f t="shared" si="70"/>
        <v>PR:Music   SP:Barney20171030 $1227</v>
      </c>
      <c r="L251" t="str">
        <f t="shared" si="71"/>
        <v>Music   SP:Barney20171030 $1227</v>
      </c>
      <c r="M251" t="str">
        <f t="shared" si="72"/>
        <v>Music   Barney20171030 $1227</v>
      </c>
      <c r="N251" t="str">
        <f t="shared" si="73"/>
        <v>Music Barney20171030 $1227</v>
      </c>
      <c r="O251" t="str">
        <f t="shared" si="74"/>
        <v>Music Barney 20171030 $1227</v>
      </c>
      <c r="P251">
        <f t="shared" si="75"/>
        <v>6</v>
      </c>
      <c r="Q251">
        <f t="shared" si="76"/>
        <v>13</v>
      </c>
      <c r="R251">
        <f t="shared" si="77"/>
        <v>22</v>
      </c>
      <c r="S251" t="str">
        <f t="shared" si="78"/>
        <v>Music</v>
      </c>
      <c r="T251" t="str">
        <f t="shared" si="79"/>
        <v>Barney</v>
      </c>
      <c r="U251" t="str">
        <f t="shared" si="80"/>
        <v>20171030</v>
      </c>
      <c r="V251" t="str">
        <f t="shared" si="81"/>
        <v>1227</v>
      </c>
      <c r="W251" s="4">
        <f t="shared" si="82"/>
        <v>43038</v>
      </c>
      <c r="X251" s="5">
        <f t="shared" si="83"/>
        <v>1227</v>
      </c>
    </row>
    <row r="252" spans="3:24" x14ac:dyDescent="0.35">
      <c r="C252" s="2">
        <f t="shared" si="63"/>
        <v>251</v>
      </c>
      <c r="D252" t="s">
        <v>250</v>
      </c>
      <c r="E252">
        <f t="shared" si="64"/>
        <v>28</v>
      </c>
      <c r="F252" t="str">
        <f t="shared" si="65"/>
        <v xml:space="preserve">/////PR:Music____SP:Alice20171027   $1325   </v>
      </c>
      <c r="G252">
        <f t="shared" si="66"/>
        <v>32</v>
      </c>
      <c r="H252" t="str">
        <f t="shared" si="67"/>
        <v>/////PR:Music____SP:Alice20171027   $1325</v>
      </c>
      <c r="I252">
        <f t="shared" si="68"/>
        <v>53</v>
      </c>
      <c r="J252" t="str">
        <f t="shared" si="69"/>
        <v>PR:Music____SP:Alice20171027   $1325</v>
      </c>
      <c r="K252" t="str">
        <f t="shared" si="70"/>
        <v>PR:Music    SP:Alice20171027   $1325</v>
      </c>
      <c r="L252" t="str">
        <f t="shared" si="71"/>
        <v>Music    SP:Alice20171027   $1325</v>
      </c>
      <c r="M252" t="str">
        <f t="shared" si="72"/>
        <v>Music    Alice20171027   $1325</v>
      </c>
      <c r="N252" t="str">
        <f t="shared" si="73"/>
        <v>Music Alice20171027 $1325</v>
      </c>
      <c r="O252" t="str">
        <f t="shared" si="74"/>
        <v>Music Alice 20171027 $1325</v>
      </c>
      <c r="P252">
        <f t="shared" si="75"/>
        <v>6</v>
      </c>
      <c r="Q252">
        <f t="shared" si="76"/>
        <v>12</v>
      </c>
      <c r="R252">
        <f t="shared" si="77"/>
        <v>21</v>
      </c>
      <c r="S252" t="str">
        <f t="shared" si="78"/>
        <v>Music</v>
      </c>
      <c r="T252" t="str">
        <f t="shared" si="79"/>
        <v>Alice</v>
      </c>
      <c r="U252" t="str">
        <f t="shared" si="80"/>
        <v>20171027</v>
      </c>
      <c r="V252" t="str">
        <f t="shared" si="81"/>
        <v>1325</v>
      </c>
      <c r="W252" s="4">
        <f t="shared" si="82"/>
        <v>43035</v>
      </c>
      <c r="X252" s="5">
        <f t="shared" si="83"/>
        <v>1325</v>
      </c>
    </row>
    <row r="253" spans="3:24" x14ac:dyDescent="0.35">
      <c r="C253" s="2">
        <f t="shared" si="63"/>
        <v>252</v>
      </c>
      <c r="D253" t="s">
        <v>251</v>
      </c>
      <c r="E253">
        <f t="shared" si="64"/>
        <v>31</v>
      </c>
      <c r="F253" t="str">
        <f t="shared" si="65"/>
        <v xml:space="preserve">////PR:Clothing_____SP:David20171018   $0     </v>
      </c>
      <c r="G253">
        <f t="shared" si="66"/>
        <v>32</v>
      </c>
      <c r="H253" t="str">
        <f t="shared" si="67"/>
        <v>////PR:Clothing_____SP:David20171018   $0</v>
      </c>
      <c r="I253">
        <f t="shared" si="68"/>
        <v>48</v>
      </c>
      <c r="J253" t="str">
        <f t="shared" si="69"/>
        <v>PR:Clothing_____SP:David20171018   $0</v>
      </c>
      <c r="K253" t="str">
        <f t="shared" si="70"/>
        <v>PR:Clothing     SP:David20171018   $0</v>
      </c>
      <c r="L253" t="str">
        <f t="shared" si="71"/>
        <v>Clothing     SP:David20171018   $0</v>
      </c>
      <c r="M253" t="str">
        <f t="shared" si="72"/>
        <v>Clothing     David20171018   $0</v>
      </c>
      <c r="N253" t="str">
        <f t="shared" si="73"/>
        <v>Clothing David20171018 $0</v>
      </c>
      <c r="O253" t="str">
        <f t="shared" si="74"/>
        <v>Clothing David 20171018 $0</v>
      </c>
      <c r="P253">
        <f t="shared" si="75"/>
        <v>9</v>
      </c>
      <c r="Q253">
        <f t="shared" si="76"/>
        <v>15</v>
      </c>
      <c r="R253">
        <f t="shared" si="77"/>
        <v>24</v>
      </c>
      <c r="S253" t="str">
        <f t="shared" si="78"/>
        <v>Clothing</v>
      </c>
      <c r="T253" t="str">
        <f t="shared" si="79"/>
        <v>David</v>
      </c>
      <c r="U253" t="str">
        <f t="shared" si="80"/>
        <v>20171018</v>
      </c>
      <c r="V253" t="str">
        <f t="shared" si="81"/>
        <v>0</v>
      </c>
      <c r="W253" s="4">
        <f t="shared" si="82"/>
        <v>43026</v>
      </c>
      <c r="X253" s="5">
        <f t="shared" si="83"/>
        <v>0</v>
      </c>
    </row>
    <row r="254" spans="3:24" x14ac:dyDescent="0.35">
      <c r="C254" s="2">
        <f t="shared" si="63"/>
        <v>253</v>
      </c>
      <c r="D254" t="s">
        <v>252</v>
      </c>
      <c r="E254">
        <f t="shared" si="64"/>
        <v>31</v>
      </c>
      <c r="F254" t="str">
        <f t="shared" si="65"/>
        <v xml:space="preserve">////PR:Games_____SP:Alice20171024   $1035  </v>
      </c>
      <c r="G254">
        <f t="shared" si="66"/>
        <v>32</v>
      </c>
      <c r="H254" t="str">
        <f t="shared" si="67"/>
        <v>////PR:Games_____SP:Alice20171024   $1035</v>
      </c>
      <c r="I254">
        <f t="shared" si="68"/>
        <v>53</v>
      </c>
      <c r="J254" t="str">
        <f t="shared" si="69"/>
        <v>PR:Games_____SP:Alice20171024   $1035</v>
      </c>
      <c r="K254" t="str">
        <f t="shared" si="70"/>
        <v>PR:Games     SP:Alice20171024   $1035</v>
      </c>
      <c r="L254" t="str">
        <f t="shared" si="71"/>
        <v>Games     SP:Alice20171024   $1035</v>
      </c>
      <c r="M254" t="str">
        <f t="shared" si="72"/>
        <v>Games     Alice20171024   $1035</v>
      </c>
      <c r="N254" t="str">
        <f t="shared" si="73"/>
        <v>Games Alice20171024 $1035</v>
      </c>
      <c r="O254" t="str">
        <f t="shared" si="74"/>
        <v>Games Alice 20171024 $1035</v>
      </c>
      <c r="P254">
        <f t="shared" si="75"/>
        <v>6</v>
      </c>
      <c r="Q254">
        <f t="shared" si="76"/>
        <v>12</v>
      </c>
      <c r="R254">
        <f t="shared" si="77"/>
        <v>21</v>
      </c>
      <c r="S254" t="str">
        <f t="shared" si="78"/>
        <v>Games</v>
      </c>
      <c r="T254" t="str">
        <f t="shared" si="79"/>
        <v>Alice</v>
      </c>
      <c r="U254" t="str">
        <f t="shared" si="80"/>
        <v>20171024</v>
      </c>
      <c r="V254" t="str">
        <f t="shared" si="81"/>
        <v>1035</v>
      </c>
      <c r="W254" s="4">
        <f t="shared" si="82"/>
        <v>43032</v>
      </c>
      <c r="X254" s="5">
        <f t="shared" si="83"/>
        <v>1035</v>
      </c>
    </row>
    <row r="255" spans="3:24" x14ac:dyDescent="0.35">
      <c r="C255" s="2">
        <f t="shared" si="63"/>
        <v>254</v>
      </c>
      <c r="D255" t="s">
        <v>253</v>
      </c>
      <c r="E255">
        <f t="shared" si="64"/>
        <v>28</v>
      </c>
      <c r="F255" t="str">
        <f t="shared" si="65"/>
        <v xml:space="preserve">///PR:Books___SP:David20171030 $553 </v>
      </c>
      <c r="G255">
        <f t="shared" si="66"/>
        <v>32</v>
      </c>
      <c r="H255" t="str">
        <f t="shared" si="67"/>
        <v>///PR:Books___SP:David20171030 $553</v>
      </c>
      <c r="I255">
        <f t="shared" si="68"/>
        <v>51</v>
      </c>
      <c r="J255" t="str">
        <f t="shared" si="69"/>
        <v>PR:Books___SP:David20171030 $553</v>
      </c>
      <c r="K255" t="str">
        <f t="shared" si="70"/>
        <v>PR:Books   SP:David20171030 $553</v>
      </c>
      <c r="L255" t="str">
        <f t="shared" si="71"/>
        <v>Books   SP:David20171030 $553</v>
      </c>
      <c r="M255" t="str">
        <f t="shared" si="72"/>
        <v>Books   David20171030 $553</v>
      </c>
      <c r="N255" t="str">
        <f t="shared" si="73"/>
        <v>Books David20171030 $553</v>
      </c>
      <c r="O255" t="str">
        <f t="shared" si="74"/>
        <v>Books David 20171030 $553</v>
      </c>
      <c r="P255">
        <f t="shared" si="75"/>
        <v>6</v>
      </c>
      <c r="Q255">
        <f t="shared" si="76"/>
        <v>12</v>
      </c>
      <c r="R255">
        <f t="shared" si="77"/>
        <v>21</v>
      </c>
      <c r="S255" t="str">
        <f t="shared" si="78"/>
        <v>Books</v>
      </c>
      <c r="T255" t="str">
        <f t="shared" si="79"/>
        <v>David</v>
      </c>
      <c r="U255" t="str">
        <f t="shared" si="80"/>
        <v>20171030</v>
      </c>
      <c r="V255" t="str">
        <f t="shared" si="81"/>
        <v>553</v>
      </c>
      <c r="W255" s="4">
        <f t="shared" si="82"/>
        <v>43038</v>
      </c>
      <c r="X255" s="5">
        <f t="shared" si="83"/>
        <v>553</v>
      </c>
    </row>
    <row r="256" spans="3:24" x14ac:dyDescent="0.35">
      <c r="C256" s="2">
        <f t="shared" si="63"/>
        <v>255</v>
      </c>
      <c r="D256" t="s">
        <v>254</v>
      </c>
      <c r="E256">
        <f t="shared" si="64"/>
        <v>28</v>
      </c>
      <c r="F256" t="str">
        <f t="shared" si="65"/>
        <v xml:space="preserve">//PR:Music___SP:Barney20171021 $1139 </v>
      </c>
      <c r="G256">
        <f t="shared" si="66"/>
        <v>32</v>
      </c>
      <c r="H256" t="str">
        <f t="shared" si="67"/>
        <v>//PR:Music___SP:Barney20171021 $1139</v>
      </c>
      <c r="I256">
        <f t="shared" si="68"/>
        <v>57</v>
      </c>
      <c r="J256" t="str">
        <f t="shared" si="69"/>
        <v>PR:Music___SP:Barney20171021 $1139</v>
      </c>
      <c r="K256" t="str">
        <f t="shared" si="70"/>
        <v>PR:Music   SP:Barney20171021 $1139</v>
      </c>
      <c r="L256" t="str">
        <f t="shared" si="71"/>
        <v>Music   SP:Barney20171021 $1139</v>
      </c>
      <c r="M256" t="str">
        <f t="shared" si="72"/>
        <v>Music   Barney20171021 $1139</v>
      </c>
      <c r="N256" t="str">
        <f t="shared" si="73"/>
        <v>Music Barney20171021 $1139</v>
      </c>
      <c r="O256" t="str">
        <f t="shared" si="74"/>
        <v>Music Barney 20171021 $1139</v>
      </c>
      <c r="P256">
        <f t="shared" si="75"/>
        <v>6</v>
      </c>
      <c r="Q256">
        <f t="shared" si="76"/>
        <v>13</v>
      </c>
      <c r="R256">
        <f t="shared" si="77"/>
        <v>22</v>
      </c>
      <c r="S256" t="str">
        <f t="shared" si="78"/>
        <v>Music</v>
      </c>
      <c r="T256" t="str">
        <f t="shared" si="79"/>
        <v>Barney</v>
      </c>
      <c r="U256" t="str">
        <f t="shared" si="80"/>
        <v>20171021</v>
      </c>
      <c r="V256" t="str">
        <f t="shared" si="81"/>
        <v>1139</v>
      </c>
      <c r="W256" s="4">
        <f t="shared" si="82"/>
        <v>43029</v>
      </c>
      <c r="X256" s="5">
        <f t="shared" si="83"/>
        <v>1139</v>
      </c>
    </row>
    <row r="257" spans="3:24" x14ac:dyDescent="0.35">
      <c r="C257" s="2">
        <f t="shared" si="63"/>
        <v>256</v>
      </c>
      <c r="D257" t="s">
        <v>255</v>
      </c>
      <c r="E257">
        <f t="shared" si="64"/>
        <v>28</v>
      </c>
      <c r="F257" t="str">
        <f t="shared" si="65"/>
        <v xml:space="preserve">/////PR:Games__SP:Barney20171029   $0     </v>
      </c>
      <c r="G257">
        <f t="shared" si="66"/>
        <v>32</v>
      </c>
      <c r="H257" t="str">
        <f t="shared" si="67"/>
        <v>/////PR:Games__SP:Barney20171029   $0</v>
      </c>
      <c r="I257">
        <f t="shared" si="68"/>
        <v>48</v>
      </c>
      <c r="J257" t="str">
        <f t="shared" si="69"/>
        <v>PR:Games__SP:Barney20171029   $0</v>
      </c>
      <c r="K257" t="str">
        <f t="shared" si="70"/>
        <v>PR:Games  SP:Barney20171029   $0</v>
      </c>
      <c r="L257" t="str">
        <f t="shared" si="71"/>
        <v>Games  SP:Barney20171029   $0</v>
      </c>
      <c r="M257" t="str">
        <f t="shared" si="72"/>
        <v>Games  Barney20171029   $0</v>
      </c>
      <c r="N257" t="str">
        <f t="shared" si="73"/>
        <v>Games Barney20171029 $0</v>
      </c>
      <c r="O257" t="str">
        <f t="shared" si="74"/>
        <v>Games Barney 20171029 $0</v>
      </c>
      <c r="P257">
        <f t="shared" si="75"/>
        <v>6</v>
      </c>
      <c r="Q257">
        <f t="shared" si="76"/>
        <v>13</v>
      </c>
      <c r="R257">
        <f t="shared" si="77"/>
        <v>22</v>
      </c>
      <c r="S257" t="str">
        <f t="shared" si="78"/>
        <v>Games</v>
      </c>
      <c r="T257" t="str">
        <f t="shared" si="79"/>
        <v>Barney</v>
      </c>
      <c r="U257" t="str">
        <f t="shared" si="80"/>
        <v>20171029</v>
      </c>
      <c r="V257" t="str">
        <f t="shared" si="81"/>
        <v>0</v>
      </c>
      <c r="W257" s="4">
        <f t="shared" si="82"/>
        <v>43037</v>
      </c>
      <c r="X257" s="5">
        <f t="shared" si="83"/>
        <v>0</v>
      </c>
    </row>
    <row r="258" spans="3:24" x14ac:dyDescent="0.35">
      <c r="C258" s="2">
        <f t="shared" si="63"/>
        <v>257</v>
      </c>
      <c r="D258" t="s">
        <v>256</v>
      </c>
      <c r="E258">
        <f t="shared" si="64"/>
        <v>29</v>
      </c>
      <c r="F258" t="str">
        <f t="shared" si="65"/>
        <v xml:space="preserve">//PR:Music_SP:Carol20171026     $0    </v>
      </c>
      <c r="G258">
        <f t="shared" si="66"/>
        <v>32</v>
      </c>
      <c r="H258" t="str">
        <f t="shared" si="67"/>
        <v>//PR:Music_SP:Carol20171026     $0</v>
      </c>
      <c r="I258">
        <f t="shared" si="68"/>
        <v>48</v>
      </c>
      <c r="J258" t="str">
        <f t="shared" si="69"/>
        <v>PR:Music_SP:Carol20171026     $0</v>
      </c>
      <c r="K258" t="str">
        <f t="shared" si="70"/>
        <v>PR:Music SP:Carol20171026     $0</v>
      </c>
      <c r="L258" t="str">
        <f t="shared" si="71"/>
        <v>Music SP:Carol20171026     $0</v>
      </c>
      <c r="M258" t="str">
        <f t="shared" si="72"/>
        <v>Music Carol20171026     $0</v>
      </c>
      <c r="N258" t="str">
        <f t="shared" si="73"/>
        <v>Music Carol20171026 $0</v>
      </c>
      <c r="O258" t="str">
        <f t="shared" si="74"/>
        <v>Music Carol 20171026 $0</v>
      </c>
      <c r="P258">
        <f t="shared" si="75"/>
        <v>6</v>
      </c>
      <c r="Q258">
        <f t="shared" si="76"/>
        <v>12</v>
      </c>
      <c r="R258">
        <f t="shared" si="77"/>
        <v>21</v>
      </c>
      <c r="S258" t="str">
        <f t="shared" si="78"/>
        <v>Music</v>
      </c>
      <c r="T258" t="str">
        <f t="shared" si="79"/>
        <v>Carol</v>
      </c>
      <c r="U258" t="str">
        <f t="shared" si="80"/>
        <v>20171026</v>
      </c>
      <c r="V258" t="str">
        <f t="shared" si="81"/>
        <v>0</v>
      </c>
      <c r="W258" s="4">
        <f t="shared" si="82"/>
        <v>43034</v>
      </c>
      <c r="X258" s="5">
        <f t="shared" si="83"/>
        <v>0</v>
      </c>
    </row>
    <row r="259" spans="3:24" x14ac:dyDescent="0.35">
      <c r="C259" s="2">
        <f t="shared" ref="C259:C322" si="84">C258+1</f>
        <v>258</v>
      </c>
      <c r="D259" t="s">
        <v>257</v>
      </c>
      <c r="E259">
        <f t="shared" ref="E259:E322" si="85">CODE(RIGHT(D259,1))</f>
        <v>31</v>
      </c>
      <c r="F259" t="str">
        <f t="shared" ref="F259:F322" si="86">CLEAN(D259)</f>
        <v xml:space="preserve">////PR:Books____SP:Barney20171013 $922    </v>
      </c>
      <c r="G259">
        <f t="shared" ref="G259:G322" si="87">CODE(RIGHT(F259,1))</f>
        <v>32</v>
      </c>
      <c r="H259" t="str">
        <f t="shared" ref="H259:H322" si="88">TRIM(F259)</f>
        <v>////PR:Books____SP:Barney20171013 $922</v>
      </c>
      <c r="I259">
        <f t="shared" ref="I259:I322" si="89">CODE(RIGHT(H259,1))</f>
        <v>50</v>
      </c>
      <c r="J259" t="str">
        <f t="shared" ref="J259:J322" si="90">SUBSTITUTE(H259,"/","")</f>
        <v>PR:Books____SP:Barney20171013 $922</v>
      </c>
      <c r="K259" t="str">
        <f t="shared" ref="K259:K322" si="91">SUBSTITUTE(J259,"_"," ")</f>
        <v>PR:Books    SP:Barney20171013 $922</v>
      </c>
      <c r="L259" t="str">
        <f t="shared" ref="L259:L322" si="92">SUBSTITUTE(K259,"PR:","")</f>
        <v>Books    SP:Barney20171013 $922</v>
      </c>
      <c r="M259" t="str">
        <f t="shared" ref="M259:M322" si="93">SUBSTITUTE(L259,"SP:","")</f>
        <v>Books    Barney20171013 $922</v>
      </c>
      <c r="N259" t="str">
        <f t="shared" ref="N259:N322" si="94">TRIM(SUBSTITUTE(M259,CHAR(160)," "))</f>
        <v>Books Barney20171013 $922</v>
      </c>
      <c r="O259" t="str">
        <f t="shared" ref="O259:O322" si="95">SUBSTITUTE(N259,"2017"," 2017")</f>
        <v>Books Barney 20171013 $922</v>
      </c>
      <c r="P259">
        <f t="shared" ref="P259:P322" si="96">SEARCH(" ",O259,1)</f>
        <v>6</v>
      </c>
      <c r="Q259">
        <f t="shared" ref="Q259:Q322" si="97">SEARCH(" ",O259,P259+1)</f>
        <v>13</v>
      </c>
      <c r="R259">
        <f t="shared" ref="R259:R322" si="98">SEARCH(" ",O259,Q259+1)</f>
        <v>22</v>
      </c>
      <c r="S259" t="str">
        <f t="shared" ref="S259:S322" si="99">LEFT(O259,P259-1)</f>
        <v>Books</v>
      </c>
      <c r="T259" t="str">
        <f t="shared" ref="T259:T322" si="100">MID(O259,P259+1,Q259-P259-1)</f>
        <v>Barney</v>
      </c>
      <c r="U259" t="str">
        <f t="shared" ref="U259:U322" si="101">MID(O259,Q259+1,R259-Q259-1)</f>
        <v>20171013</v>
      </c>
      <c r="V259" t="str">
        <f t="shared" ref="V259:V322" si="102">MID(O259,R259+2,99)</f>
        <v>922</v>
      </c>
      <c r="W259" s="4">
        <f t="shared" ref="W259:W322" si="103">DATE(2017,10,MID(U259,7,2))</f>
        <v>43021</v>
      </c>
      <c r="X259" s="5">
        <f t="shared" ref="X259:X322" si="104">VALUE(V259)</f>
        <v>922</v>
      </c>
    </row>
    <row r="260" spans="3:24" x14ac:dyDescent="0.35">
      <c r="C260" s="2">
        <f t="shared" si="84"/>
        <v>259</v>
      </c>
      <c r="D260" t="s">
        <v>258</v>
      </c>
      <c r="E260">
        <f t="shared" si="85"/>
        <v>31</v>
      </c>
      <c r="F260" t="str">
        <f t="shared" si="86"/>
        <v xml:space="preserve">/////PR:Books____SP:Alice20171029  $933   </v>
      </c>
      <c r="G260">
        <f t="shared" si="87"/>
        <v>32</v>
      </c>
      <c r="H260" t="str">
        <f t="shared" si="88"/>
        <v>/////PR:Books____SP:Alice20171029  $933</v>
      </c>
      <c r="I260">
        <f t="shared" si="89"/>
        <v>51</v>
      </c>
      <c r="J260" t="str">
        <f t="shared" si="90"/>
        <v>PR:Books____SP:Alice20171029  $933</v>
      </c>
      <c r="K260" t="str">
        <f t="shared" si="91"/>
        <v>PR:Books    SP:Alice20171029  $933</v>
      </c>
      <c r="L260" t="str">
        <f t="shared" si="92"/>
        <v>Books    SP:Alice20171029  $933</v>
      </c>
      <c r="M260" t="str">
        <f t="shared" si="93"/>
        <v>Books    Alice20171029  $933</v>
      </c>
      <c r="N260" t="str">
        <f t="shared" si="94"/>
        <v>Books Alice20171029 $933</v>
      </c>
      <c r="O260" t="str">
        <f t="shared" si="95"/>
        <v>Books Alice 20171029 $933</v>
      </c>
      <c r="P260">
        <f t="shared" si="96"/>
        <v>6</v>
      </c>
      <c r="Q260">
        <f t="shared" si="97"/>
        <v>12</v>
      </c>
      <c r="R260">
        <f t="shared" si="98"/>
        <v>21</v>
      </c>
      <c r="S260" t="str">
        <f t="shared" si="99"/>
        <v>Books</v>
      </c>
      <c r="T260" t="str">
        <f t="shared" si="100"/>
        <v>Alice</v>
      </c>
      <c r="U260" t="str">
        <f t="shared" si="101"/>
        <v>20171029</v>
      </c>
      <c r="V260" t="str">
        <f t="shared" si="102"/>
        <v>933</v>
      </c>
      <c r="W260" s="4">
        <f t="shared" si="103"/>
        <v>43037</v>
      </c>
      <c r="X260" s="5">
        <f t="shared" si="104"/>
        <v>933</v>
      </c>
    </row>
    <row r="261" spans="3:24" x14ac:dyDescent="0.35">
      <c r="C261" s="2">
        <f t="shared" si="84"/>
        <v>260</v>
      </c>
      <c r="D261" t="s">
        <v>259</v>
      </c>
      <c r="E261">
        <f t="shared" si="85"/>
        <v>29</v>
      </c>
      <c r="F261" t="str">
        <f t="shared" si="86"/>
        <v xml:space="preserve">///PR:Music____SP:Carol2017101   $902 </v>
      </c>
      <c r="G261">
        <f t="shared" si="87"/>
        <v>32</v>
      </c>
      <c r="H261" t="str">
        <f t="shared" si="88"/>
        <v>///PR:Music____SP:Carol2017101   $902</v>
      </c>
      <c r="I261">
        <f t="shared" si="89"/>
        <v>50</v>
      </c>
      <c r="J261" t="str">
        <f t="shared" si="90"/>
        <v>PR:Music____SP:Carol2017101   $902</v>
      </c>
      <c r="K261" t="str">
        <f t="shared" si="91"/>
        <v>PR:Music    SP:Carol2017101   $902</v>
      </c>
      <c r="L261" t="str">
        <f t="shared" si="92"/>
        <v>Music    SP:Carol2017101   $902</v>
      </c>
      <c r="M261" t="str">
        <f t="shared" si="93"/>
        <v>Music    Carol2017101   $902</v>
      </c>
      <c r="N261" t="str">
        <f t="shared" si="94"/>
        <v>Music Carol2017101 $902</v>
      </c>
      <c r="O261" t="str">
        <f t="shared" si="95"/>
        <v>Music Carol 2017101 $902</v>
      </c>
      <c r="P261">
        <f t="shared" si="96"/>
        <v>6</v>
      </c>
      <c r="Q261">
        <f t="shared" si="97"/>
        <v>12</v>
      </c>
      <c r="R261">
        <f t="shared" si="98"/>
        <v>20</v>
      </c>
      <c r="S261" t="str">
        <f t="shared" si="99"/>
        <v>Music</v>
      </c>
      <c r="T261" t="str">
        <f t="shared" si="100"/>
        <v>Carol</v>
      </c>
      <c r="U261" t="str">
        <f t="shared" si="101"/>
        <v>2017101</v>
      </c>
      <c r="V261" t="str">
        <f t="shared" si="102"/>
        <v>902</v>
      </c>
      <c r="W261" s="4">
        <f t="shared" si="103"/>
        <v>43009</v>
      </c>
      <c r="X261" s="5">
        <f t="shared" si="104"/>
        <v>902</v>
      </c>
    </row>
    <row r="262" spans="3:24" x14ac:dyDescent="0.35">
      <c r="C262" s="2">
        <f t="shared" si="84"/>
        <v>261</v>
      </c>
      <c r="D262" t="s">
        <v>260</v>
      </c>
      <c r="E262">
        <f t="shared" si="85"/>
        <v>28</v>
      </c>
      <c r="F262" t="str">
        <f t="shared" si="86"/>
        <v xml:space="preserve">//PR:Books___SP:Barney2017102  $885 </v>
      </c>
      <c r="G262">
        <f t="shared" si="87"/>
        <v>32</v>
      </c>
      <c r="H262" t="str">
        <f t="shared" si="88"/>
        <v>//PR:Books___SP:Barney2017102  $885</v>
      </c>
      <c r="I262">
        <f t="shared" si="89"/>
        <v>53</v>
      </c>
      <c r="J262" t="str">
        <f t="shared" si="90"/>
        <v>PR:Books___SP:Barney2017102  $885</v>
      </c>
      <c r="K262" t="str">
        <f t="shared" si="91"/>
        <v>PR:Books   SP:Barney2017102  $885</v>
      </c>
      <c r="L262" t="str">
        <f t="shared" si="92"/>
        <v>Books   SP:Barney2017102  $885</v>
      </c>
      <c r="M262" t="str">
        <f t="shared" si="93"/>
        <v>Books   Barney2017102  $885</v>
      </c>
      <c r="N262" t="str">
        <f t="shared" si="94"/>
        <v>Books Barney2017102 $885</v>
      </c>
      <c r="O262" t="str">
        <f t="shared" si="95"/>
        <v>Books Barney 2017102 $885</v>
      </c>
      <c r="P262">
        <f t="shared" si="96"/>
        <v>6</v>
      </c>
      <c r="Q262">
        <f t="shared" si="97"/>
        <v>13</v>
      </c>
      <c r="R262">
        <f t="shared" si="98"/>
        <v>21</v>
      </c>
      <c r="S262" t="str">
        <f t="shared" si="99"/>
        <v>Books</v>
      </c>
      <c r="T262" t="str">
        <f t="shared" si="100"/>
        <v>Barney</v>
      </c>
      <c r="U262" t="str">
        <f t="shared" si="101"/>
        <v>2017102</v>
      </c>
      <c r="V262" t="str">
        <f t="shared" si="102"/>
        <v>885</v>
      </c>
      <c r="W262" s="4">
        <f t="shared" si="103"/>
        <v>43010</v>
      </c>
      <c r="X262" s="5">
        <f t="shared" si="104"/>
        <v>885</v>
      </c>
    </row>
    <row r="263" spans="3:24" x14ac:dyDescent="0.35">
      <c r="C263" s="2">
        <f t="shared" si="84"/>
        <v>262</v>
      </c>
      <c r="D263" t="s">
        <v>261</v>
      </c>
      <c r="E263">
        <f t="shared" si="85"/>
        <v>29</v>
      </c>
      <c r="F263" t="str">
        <f t="shared" si="86"/>
        <v xml:space="preserve">/////PR:Clothing___SP:Barney20171031     $0  </v>
      </c>
      <c r="G263">
        <f t="shared" si="87"/>
        <v>32</v>
      </c>
      <c r="H263" t="str">
        <f t="shared" si="88"/>
        <v>/////PR:Clothing___SP:Barney20171031     $0</v>
      </c>
      <c r="I263">
        <f t="shared" si="89"/>
        <v>48</v>
      </c>
      <c r="J263" t="str">
        <f t="shared" si="90"/>
        <v>PR:Clothing___SP:Barney20171031     $0</v>
      </c>
      <c r="K263" t="str">
        <f t="shared" si="91"/>
        <v>PR:Clothing   SP:Barney20171031     $0</v>
      </c>
      <c r="L263" t="str">
        <f t="shared" si="92"/>
        <v>Clothing   SP:Barney20171031     $0</v>
      </c>
      <c r="M263" t="str">
        <f t="shared" si="93"/>
        <v>Clothing   Barney20171031     $0</v>
      </c>
      <c r="N263" t="str">
        <f t="shared" si="94"/>
        <v>Clothing Barney20171031 $0</v>
      </c>
      <c r="O263" t="str">
        <f t="shared" si="95"/>
        <v>Clothing Barney 20171031 $0</v>
      </c>
      <c r="P263">
        <f t="shared" si="96"/>
        <v>9</v>
      </c>
      <c r="Q263">
        <f t="shared" si="97"/>
        <v>16</v>
      </c>
      <c r="R263">
        <f t="shared" si="98"/>
        <v>25</v>
      </c>
      <c r="S263" t="str">
        <f t="shared" si="99"/>
        <v>Clothing</v>
      </c>
      <c r="T263" t="str">
        <f t="shared" si="100"/>
        <v>Barney</v>
      </c>
      <c r="U263" t="str">
        <f t="shared" si="101"/>
        <v>20171031</v>
      </c>
      <c r="V263" t="str">
        <f t="shared" si="102"/>
        <v>0</v>
      </c>
      <c r="W263" s="4">
        <f t="shared" si="103"/>
        <v>43039</v>
      </c>
      <c r="X263" s="5">
        <f t="shared" si="104"/>
        <v>0</v>
      </c>
    </row>
    <row r="264" spans="3:24" x14ac:dyDescent="0.35">
      <c r="C264" s="2">
        <f t="shared" si="84"/>
        <v>263</v>
      </c>
      <c r="D264" t="s">
        <v>262</v>
      </c>
      <c r="E264">
        <f t="shared" si="85"/>
        <v>31</v>
      </c>
      <c r="F264" t="str">
        <f t="shared" si="86"/>
        <v xml:space="preserve">/PR:Clothing___SP:Alice20171016  $0    </v>
      </c>
      <c r="G264">
        <f t="shared" si="87"/>
        <v>32</v>
      </c>
      <c r="H264" t="str">
        <f t="shared" si="88"/>
        <v>/PR:Clothing___SP:Alice20171016  $0</v>
      </c>
      <c r="I264">
        <f t="shared" si="89"/>
        <v>48</v>
      </c>
      <c r="J264" t="str">
        <f t="shared" si="90"/>
        <v>PR:Clothing___SP:Alice20171016  $0</v>
      </c>
      <c r="K264" t="str">
        <f t="shared" si="91"/>
        <v>PR:Clothing   SP:Alice20171016  $0</v>
      </c>
      <c r="L264" t="str">
        <f t="shared" si="92"/>
        <v>Clothing   SP:Alice20171016  $0</v>
      </c>
      <c r="M264" t="str">
        <f t="shared" si="93"/>
        <v>Clothing   Alice20171016  $0</v>
      </c>
      <c r="N264" t="str">
        <f t="shared" si="94"/>
        <v>Clothing Alice20171016 $0</v>
      </c>
      <c r="O264" t="str">
        <f t="shared" si="95"/>
        <v>Clothing Alice 20171016 $0</v>
      </c>
      <c r="P264">
        <f t="shared" si="96"/>
        <v>9</v>
      </c>
      <c r="Q264">
        <f t="shared" si="97"/>
        <v>15</v>
      </c>
      <c r="R264">
        <f t="shared" si="98"/>
        <v>24</v>
      </c>
      <c r="S264" t="str">
        <f t="shared" si="99"/>
        <v>Clothing</v>
      </c>
      <c r="T264" t="str">
        <f t="shared" si="100"/>
        <v>Alice</v>
      </c>
      <c r="U264" t="str">
        <f t="shared" si="101"/>
        <v>20171016</v>
      </c>
      <c r="V264" t="str">
        <f t="shared" si="102"/>
        <v>0</v>
      </c>
      <c r="W264" s="4">
        <f t="shared" si="103"/>
        <v>43024</v>
      </c>
      <c r="X264" s="5">
        <f t="shared" si="104"/>
        <v>0</v>
      </c>
    </row>
    <row r="265" spans="3:24" x14ac:dyDescent="0.35">
      <c r="C265" s="2">
        <f t="shared" si="84"/>
        <v>264</v>
      </c>
      <c r="D265" t="s">
        <v>263</v>
      </c>
      <c r="E265">
        <f t="shared" si="85"/>
        <v>30</v>
      </c>
      <c r="F265" t="str">
        <f t="shared" si="86"/>
        <v xml:space="preserve">/////PR:Music___SP:David20171010 $1040 </v>
      </c>
      <c r="G265">
        <f t="shared" si="87"/>
        <v>32</v>
      </c>
      <c r="H265" t="str">
        <f t="shared" si="88"/>
        <v>/////PR:Music___SP:David20171010 $1040</v>
      </c>
      <c r="I265">
        <f t="shared" si="89"/>
        <v>48</v>
      </c>
      <c r="J265" t="str">
        <f t="shared" si="90"/>
        <v>PR:Music___SP:David20171010 $1040</v>
      </c>
      <c r="K265" t="str">
        <f t="shared" si="91"/>
        <v>PR:Music   SP:David20171010 $1040</v>
      </c>
      <c r="L265" t="str">
        <f t="shared" si="92"/>
        <v>Music   SP:David20171010 $1040</v>
      </c>
      <c r="M265" t="str">
        <f t="shared" si="93"/>
        <v>Music   David20171010 $1040</v>
      </c>
      <c r="N265" t="str">
        <f t="shared" si="94"/>
        <v>Music David20171010 $1040</v>
      </c>
      <c r="O265" t="str">
        <f t="shared" si="95"/>
        <v>Music David 20171010 $1040</v>
      </c>
      <c r="P265">
        <f t="shared" si="96"/>
        <v>6</v>
      </c>
      <c r="Q265">
        <f t="shared" si="97"/>
        <v>12</v>
      </c>
      <c r="R265">
        <f t="shared" si="98"/>
        <v>21</v>
      </c>
      <c r="S265" t="str">
        <f t="shared" si="99"/>
        <v>Music</v>
      </c>
      <c r="T265" t="str">
        <f t="shared" si="100"/>
        <v>David</v>
      </c>
      <c r="U265" t="str">
        <f t="shared" si="101"/>
        <v>20171010</v>
      </c>
      <c r="V265" t="str">
        <f t="shared" si="102"/>
        <v>1040</v>
      </c>
      <c r="W265" s="4">
        <f t="shared" si="103"/>
        <v>43018</v>
      </c>
      <c r="X265" s="5">
        <f t="shared" si="104"/>
        <v>1040</v>
      </c>
    </row>
    <row r="266" spans="3:24" x14ac:dyDescent="0.35">
      <c r="C266" s="2">
        <f t="shared" si="84"/>
        <v>265</v>
      </c>
      <c r="D266" t="s">
        <v>264</v>
      </c>
      <c r="E266">
        <f t="shared" si="85"/>
        <v>29</v>
      </c>
      <c r="F266" t="str">
        <f t="shared" si="86"/>
        <v xml:space="preserve">////PR:Clothing_____SP:Carol20171031  $0    </v>
      </c>
      <c r="G266">
        <f t="shared" si="87"/>
        <v>32</v>
      </c>
      <c r="H266" t="str">
        <f t="shared" si="88"/>
        <v>////PR:Clothing_____SP:Carol20171031  $0</v>
      </c>
      <c r="I266">
        <f t="shared" si="89"/>
        <v>48</v>
      </c>
      <c r="J266" t="str">
        <f t="shared" si="90"/>
        <v>PR:Clothing_____SP:Carol20171031  $0</v>
      </c>
      <c r="K266" t="str">
        <f t="shared" si="91"/>
        <v>PR:Clothing     SP:Carol20171031  $0</v>
      </c>
      <c r="L266" t="str">
        <f t="shared" si="92"/>
        <v>Clothing     SP:Carol20171031  $0</v>
      </c>
      <c r="M266" t="str">
        <f t="shared" si="93"/>
        <v>Clothing     Carol20171031  $0</v>
      </c>
      <c r="N266" t="str">
        <f t="shared" si="94"/>
        <v>Clothing Carol20171031 $0</v>
      </c>
      <c r="O266" t="str">
        <f t="shared" si="95"/>
        <v>Clothing Carol 20171031 $0</v>
      </c>
      <c r="P266">
        <f t="shared" si="96"/>
        <v>9</v>
      </c>
      <c r="Q266">
        <f t="shared" si="97"/>
        <v>15</v>
      </c>
      <c r="R266">
        <f t="shared" si="98"/>
        <v>24</v>
      </c>
      <c r="S266" t="str">
        <f t="shared" si="99"/>
        <v>Clothing</v>
      </c>
      <c r="T266" t="str">
        <f t="shared" si="100"/>
        <v>Carol</v>
      </c>
      <c r="U266" t="str">
        <f t="shared" si="101"/>
        <v>20171031</v>
      </c>
      <c r="V266" t="str">
        <f t="shared" si="102"/>
        <v>0</v>
      </c>
      <c r="W266" s="4">
        <f t="shared" si="103"/>
        <v>43039</v>
      </c>
      <c r="X266" s="5">
        <f t="shared" si="104"/>
        <v>0</v>
      </c>
    </row>
    <row r="267" spans="3:24" x14ac:dyDescent="0.35">
      <c r="C267" s="2">
        <f t="shared" si="84"/>
        <v>266</v>
      </c>
      <c r="D267" t="s">
        <v>265</v>
      </c>
      <c r="E267">
        <f t="shared" si="85"/>
        <v>29</v>
      </c>
      <c r="F267" t="str">
        <f t="shared" si="86"/>
        <v xml:space="preserve">////PR:Games_____SP:Carol2017105 $2347     </v>
      </c>
      <c r="G267">
        <f t="shared" si="87"/>
        <v>32</v>
      </c>
      <c r="H267" t="str">
        <f t="shared" si="88"/>
        <v>////PR:Games_____SP:Carol2017105 $2347</v>
      </c>
      <c r="I267">
        <f t="shared" si="89"/>
        <v>55</v>
      </c>
      <c r="J267" t="str">
        <f t="shared" si="90"/>
        <v>PR:Games_____SP:Carol2017105 $2347</v>
      </c>
      <c r="K267" t="str">
        <f t="shared" si="91"/>
        <v>PR:Games     SP:Carol2017105 $2347</v>
      </c>
      <c r="L267" t="str">
        <f t="shared" si="92"/>
        <v>Games     SP:Carol2017105 $2347</v>
      </c>
      <c r="M267" t="str">
        <f t="shared" si="93"/>
        <v>Games     Carol2017105 $2347</v>
      </c>
      <c r="N267" t="str">
        <f t="shared" si="94"/>
        <v>Games Carol2017105 $2347</v>
      </c>
      <c r="O267" t="str">
        <f t="shared" si="95"/>
        <v>Games Carol 2017105 $2347</v>
      </c>
      <c r="P267">
        <f t="shared" si="96"/>
        <v>6</v>
      </c>
      <c r="Q267">
        <f t="shared" si="97"/>
        <v>12</v>
      </c>
      <c r="R267">
        <f t="shared" si="98"/>
        <v>20</v>
      </c>
      <c r="S267" t="str">
        <f t="shared" si="99"/>
        <v>Games</v>
      </c>
      <c r="T267" t="str">
        <f t="shared" si="100"/>
        <v>Carol</v>
      </c>
      <c r="U267" t="str">
        <f t="shared" si="101"/>
        <v>2017105</v>
      </c>
      <c r="V267" t="str">
        <f t="shared" si="102"/>
        <v>2347</v>
      </c>
      <c r="W267" s="4">
        <f t="shared" si="103"/>
        <v>43013</v>
      </c>
      <c r="X267" s="5">
        <f t="shared" si="104"/>
        <v>2347</v>
      </c>
    </row>
    <row r="268" spans="3:24" x14ac:dyDescent="0.35">
      <c r="C268" s="2">
        <f t="shared" si="84"/>
        <v>267</v>
      </c>
      <c r="D268" t="s">
        <v>266</v>
      </c>
      <c r="E268">
        <f t="shared" si="85"/>
        <v>29</v>
      </c>
      <c r="F268" t="str">
        <f t="shared" si="86"/>
        <v xml:space="preserve">/////PR:Games_____SP:Alice20171019  $1388   </v>
      </c>
      <c r="G268">
        <f t="shared" si="87"/>
        <v>32</v>
      </c>
      <c r="H268" t="str">
        <f t="shared" si="88"/>
        <v>/////PR:Games_____SP:Alice20171019  $1388</v>
      </c>
      <c r="I268">
        <f t="shared" si="89"/>
        <v>56</v>
      </c>
      <c r="J268" t="str">
        <f t="shared" si="90"/>
        <v>PR:Games_____SP:Alice20171019  $1388</v>
      </c>
      <c r="K268" t="str">
        <f t="shared" si="91"/>
        <v>PR:Games     SP:Alice20171019  $1388</v>
      </c>
      <c r="L268" t="str">
        <f t="shared" si="92"/>
        <v>Games     SP:Alice20171019  $1388</v>
      </c>
      <c r="M268" t="str">
        <f t="shared" si="93"/>
        <v>Games     Alice20171019  $1388</v>
      </c>
      <c r="N268" t="str">
        <f t="shared" si="94"/>
        <v>Games Alice20171019 $1388</v>
      </c>
      <c r="O268" t="str">
        <f t="shared" si="95"/>
        <v>Games Alice 20171019 $1388</v>
      </c>
      <c r="P268">
        <f t="shared" si="96"/>
        <v>6</v>
      </c>
      <c r="Q268">
        <f t="shared" si="97"/>
        <v>12</v>
      </c>
      <c r="R268">
        <f t="shared" si="98"/>
        <v>21</v>
      </c>
      <c r="S268" t="str">
        <f t="shared" si="99"/>
        <v>Games</v>
      </c>
      <c r="T268" t="str">
        <f t="shared" si="100"/>
        <v>Alice</v>
      </c>
      <c r="U268" t="str">
        <f t="shared" si="101"/>
        <v>20171019</v>
      </c>
      <c r="V268" t="str">
        <f t="shared" si="102"/>
        <v>1388</v>
      </c>
      <c r="W268" s="4">
        <f t="shared" si="103"/>
        <v>43027</v>
      </c>
      <c r="X268" s="5">
        <f t="shared" si="104"/>
        <v>1388</v>
      </c>
    </row>
    <row r="269" spans="3:24" x14ac:dyDescent="0.35">
      <c r="C269" s="2">
        <f t="shared" si="84"/>
        <v>268</v>
      </c>
      <c r="D269" t="s">
        <v>267</v>
      </c>
      <c r="E269">
        <f t="shared" si="85"/>
        <v>31</v>
      </c>
      <c r="F269" t="str">
        <f t="shared" si="86"/>
        <v xml:space="preserve">/PR:Clothing____SP:David2017102 $0   </v>
      </c>
      <c r="G269">
        <f t="shared" si="87"/>
        <v>32</v>
      </c>
      <c r="H269" t="str">
        <f t="shared" si="88"/>
        <v>/PR:Clothing____SP:David2017102 $0</v>
      </c>
      <c r="I269">
        <f t="shared" si="89"/>
        <v>48</v>
      </c>
      <c r="J269" t="str">
        <f t="shared" si="90"/>
        <v>PR:Clothing____SP:David2017102 $0</v>
      </c>
      <c r="K269" t="str">
        <f t="shared" si="91"/>
        <v>PR:Clothing    SP:David2017102 $0</v>
      </c>
      <c r="L269" t="str">
        <f t="shared" si="92"/>
        <v>Clothing    SP:David2017102 $0</v>
      </c>
      <c r="M269" t="str">
        <f t="shared" si="93"/>
        <v>Clothing    David2017102 $0</v>
      </c>
      <c r="N269" t="str">
        <f t="shared" si="94"/>
        <v>Clothing David2017102 $0</v>
      </c>
      <c r="O269" t="str">
        <f t="shared" si="95"/>
        <v>Clothing David 2017102 $0</v>
      </c>
      <c r="P269">
        <f t="shared" si="96"/>
        <v>9</v>
      </c>
      <c r="Q269">
        <f t="shared" si="97"/>
        <v>15</v>
      </c>
      <c r="R269">
        <f t="shared" si="98"/>
        <v>23</v>
      </c>
      <c r="S269" t="str">
        <f t="shared" si="99"/>
        <v>Clothing</v>
      </c>
      <c r="T269" t="str">
        <f t="shared" si="100"/>
        <v>David</v>
      </c>
      <c r="U269" t="str">
        <f t="shared" si="101"/>
        <v>2017102</v>
      </c>
      <c r="V269" t="str">
        <f t="shared" si="102"/>
        <v>0</v>
      </c>
      <c r="W269" s="4">
        <f t="shared" si="103"/>
        <v>43010</v>
      </c>
      <c r="X269" s="5">
        <f t="shared" si="104"/>
        <v>0</v>
      </c>
    </row>
    <row r="270" spans="3:24" x14ac:dyDescent="0.35">
      <c r="C270" s="2">
        <f t="shared" si="84"/>
        <v>269</v>
      </c>
      <c r="D270" t="s">
        <v>268</v>
      </c>
      <c r="E270">
        <f t="shared" si="85"/>
        <v>30</v>
      </c>
      <c r="F270" t="str">
        <f t="shared" si="86"/>
        <v xml:space="preserve">//PR:Clothing_____SP:Barney2017104    $1992  </v>
      </c>
      <c r="G270">
        <f t="shared" si="87"/>
        <v>32</v>
      </c>
      <c r="H270" t="str">
        <f t="shared" si="88"/>
        <v>//PR:Clothing_____SP:Barney2017104    $1992</v>
      </c>
      <c r="I270">
        <f t="shared" si="89"/>
        <v>50</v>
      </c>
      <c r="J270" t="str">
        <f t="shared" si="90"/>
        <v>PR:Clothing_____SP:Barney2017104    $1992</v>
      </c>
      <c r="K270" t="str">
        <f t="shared" si="91"/>
        <v>PR:Clothing     SP:Barney2017104    $1992</v>
      </c>
      <c r="L270" t="str">
        <f t="shared" si="92"/>
        <v>Clothing     SP:Barney2017104    $1992</v>
      </c>
      <c r="M270" t="str">
        <f t="shared" si="93"/>
        <v>Clothing     Barney2017104    $1992</v>
      </c>
      <c r="N270" t="str">
        <f t="shared" si="94"/>
        <v>Clothing Barney2017104 $1992</v>
      </c>
      <c r="O270" t="str">
        <f t="shared" si="95"/>
        <v>Clothing Barney 2017104 $1992</v>
      </c>
      <c r="P270">
        <f t="shared" si="96"/>
        <v>9</v>
      </c>
      <c r="Q270">
        <f t="shared" si="97"/>
        <v>16</v>
      </c>
      <c r="R270">
        <f t="shared" si="98"/>
        <v>24</v>
      </c>
      <c r="S270" t="str">
        <f t="shared" si="99"/>
        <v>Clothing</v>
      </c>
      <c r="T270" t="str">
        <f t="shared" si="100"/>
        <v>Barney</v>
      </c>
      <c r="U270" t="str">
        <f t="shared" si="101"/>
        <v>2017104</v>
      </c>
      <c r="V270" t="str">
        <f t="shared" si="102"/>
        <v>1992</v>
      </c>
      <c r="W270" s="4">
        <f t="shared" si="103"/>
        <v>43012</v>
      </c>
      <c r="X270" s="5">
        <f t="shared" si="104"/>
        <v>1992</v>
      </c>
    </row>
    <row r="271" spans="3:24" x14ac:dyDescent="0.35">
      <c r="C271" s="2">
        <f t="shared" si="84"/>
        <v>270</v>
      </c>
      <c r="D271" t="s">
        <v>269</v>
      </c>
      <c r="E271">
        <f t="shared" si="85"/>
        <v>31</v>
      </c>
      <c r="F271" t="str">
        <f t="shared" si="86"/>
        <v xml:space="preserve">/PR:Games__SP:David20171014    $1110   </v>
      </c>
      <c r="G271">
        <f t="shared" si="87"/>
        <v>32</v>
      </c>
      <c r="H271" t="str">
        <f t="shared" si="88"/>
        <v>/PR:Games__SP:David20171014    $1110</v>
      </c>
      <c r="I271">
        <f t="shared" si="89"/>
        <v>48</v>
      </c>
      <c r="J271" t="str">
        <f t="shared" si="90"/>
        <v>PR:Games__SP:David20171014    $1110</v>
      </c>
      <c r="K271" t="str">
        <f t="shared" si="91"/>
        <v>PR:Games  SP:David20171014    $1110</v>
      </c>
      <c r="L271" t="str">
        <f t="shared" si="92"/>
        <v>Games  SP:David20171014    $1110</v>
      </c>
      <c r="M271" t="str">
        <f t="shared" si="93"/>
        <v>Games  David20171014    $1110</v>
      </c>
      <c r="N271" t="str">
        <f t="shared" si="94"/>
        <v>Games David20171014 $1110</v>
      </c>
      <c r="O271" t="str">
        <f t="shared" si="95"/>
        <v>Games David 20171014 $1110</v>
      </c>
      <c r="P271">
        <f t="shared" si="96"/>
        <v>6</v>
      </c>
      <c r="Q271">
        <f t="shared" si="97"/>
        <v>12</v>
      </c>
      <c r="R271">
        <f t="shared" si="98"/>
        <v>21</v>
      </c>
      <c r="S271" t="str">
        <f t="shared" si="99"/>
        <v>Games</v>
      </c>
      <c r="T271" t="str">
        <f t="shared" si="100"/>
        <v>David</v>
      </c>
      <c r="U271" t="str">
        <f t="shared" si="101"/>
        <v>20171014</v>
      </c>
      <c r="V271" t="str">
        <f t="shared" si="102"/>
        <v>1110</v>
      </c>
      <c r="W271" s="4">
        <f t="shared" si="103"/>
        <v>43022</v>
      </c>
      <c r="X271" s="5">
        <f t="shared" si="104"/>
        <v>1110</v>
      </c>
    </row>
    <row r="272" spans="3:24" x14ac:dyDescent="0.35">
      <c r="C272" s="2">
        <f t="shared" si="84"/>
        <v>271</v>
      </c>
      <c r="D272" t="s">
        <v>270</v>
      </c>
      <c r="E272">
        <f t="shared" si="85"/>
        <v>31</v>
      </c>
      <c r="F272" t="str">
        <f t="shared" si="86"/>
        <v xml:space="preserve">//PR:Music_____SP:David2017102    $1315 </v>
      </c>
      <c r="G272">
        <f t="shared" si="87"/>
        <v>32</v>
      </c>
      <c r="H272" t="str">
        <f t="shared" si="88"/>
        <v>//PR:Music_____SP:David2017102    $1315</v>
      </c>
      <c r="I272">
        <f t="shared" si="89"/>
        <v>53</v>
      </c>
      <c r="J272" t="str">
        <f t="shared" si="90"/>
        <v>PR:Music_____SP:David2017102    $1315</v>
      </c>
      <c r="K272" t="str">
        <f t="shared" si="91"/>
        <v>PR:Music     SP:David2017102    $1315</v>
      </c>
      <c r="L272" t="str">
        <f t="shared" si="92"/>
        <v>Music     SP:David2017102    $1315</v>
      </c>
      <c r="M272" t="str">
        <f t="shared" si="93"/>
        <v>Music     David2017102    $1315</v>
      </c>
      <c r="N272" t="str">
        <f t="shared" si="94"/>
        <v>Music David2017102 $1315</v>
      </c>
      <c r="O272" t="str">
        <f t="shared" si="95"/>
        <v>Music David 2017102 $1315</v>
      </c>
      <c r="P272">
        <f t="shared" si="96"/>
        <v>6</v>
      </c>
      <c r="Q272">
        <f t="shared" si="97"/>
        <v>12</v>
      </c>
      <c r="R272">
        <f t="shared" si="98"/>
        <v>20</v>
      </c>
      <c r="S272" t="str">
        <f t="shared" si="99"/>
        <v>Music</v>
      </c>
      <c r="T272" t="str">
        <f t="shared" si="100"/>
        <v>David</v>
      </c>
      <c r="U272" t="str">
        <f t="shared" si="101"/>
        <v>2017102</v>
      </c>
      <c r="V272" t="str">
        <f t="shared" si="102"/>
        <v>1315</v>
      </c>
      <c r="W272" s="4">
        <f t="shared" si="103"/>
        <v>43010</v>
      </c>
      <c r="X272" s="5">
        <f t="shared" si="104"/>
        <v>1315</v>
      </c>
    </row>
    <row r="273" spans="3:24" x14ac:dyDescent="0.35">
      <c r="C273" s="2">
        <f t="shared" si="84"/>
        <v>272</v>
      </c>
      <c r="D273" t="s">
        <v>271</v>
      </c>
      <c r="E273">
        <f t="shared" si="85"/>
        <v>29</v>
      </c>
      <c r="F273" t="str">
        <f t="shared" si="86"/>
        <v xml:space="preserve">/////PR:Clothing_____SP:David20171014     $962     </v>
      </c>
      <c r="G273">
        <f t="shared" si="87"/>
        <v>32</v>
      </c>
      <c r="H273" t="str">
        <f t="shared" si="88"/>
        <v>/////PR:Clothing_____SP:David20171014     $962</v>
      </c>
      <c r="I273">
        <f t="shared" si="89"/>
        <v>50</v>
      </c>
      <c r="J273" t="str">
        <f t="shared" si="90"/>
        <v>PR:Clothing_____SP:David20171014     $962</v>
      </c>
      <c r="K273" t="str">
        <f t="shared" si="91"/>
        <v>PR:Clothing     SP:David20171014     $962</v>
      </c>
      <c r="L273" t="str">
        <f t="shared" si="92"/>
        <v>Clothing     SP:David20171014     $962</v>
      </c>
      <c r="M273" t="str">
        <f t="shared" si="93"/>
        <v>Clothing     David20171014     $962</v>
      </c>
      <c r="N273" t="str">
        <f t="shared" si="94"/>
        <v>Clothing David20171014 $962</v>
      </c>
      <c r="O273" t="str">
        <f t="shared" si="95"/>
        <v>Clothing David 20171014 $962</v>
      </c>
      <c r="P273">
        <f t="shared" si="96"/>
        <v>9</v>
      </c>
      <c r="Q273">
        <f t="shared" si="97"/>
        <v>15</v>
      </c>
      <c r="R273">
        <f t="shared" si="98"/>
        <v>24</v>
      </c>
      <c r="S273" t="str">
        <f t="shared" si="99"/>
        <v>Clothing</v>
      </c>
      <c r="T273" t="str">
        <f t="shared" si="100"/>
        <v>David</v>
      </c>
      <c r="U273" t="str">
        <f t="shared" si="101"/>
        <v>20171014</v>
      </c>
      <c r="V273" t="str">
        <f t="shared" si="102"/>
        <v>962</v>
      </c>
      <c r="W273" s="4">
        <f t="shared" si="103"/>
        <v>43022</v>
      </c>
      <c r="X273" s="5">
        <f t="shared" si="104"/>
        <v>962</v>
      </c>
    </row>
    <row r="274" spans="3:24" x14ac:dyDescent="0.35">
      <c r="C274" s="2">
        <f t="shared" si="84"/>
        <v>273</v>
      </c>
      <c r="D274" t="s">
        <v>272</v>
      </c>
      <c r="E274">
        <f t="shared" si="85"/>
        <v>30</v>
      </c>
      <c r="F274" t="str">
        <f t="shared" si="86"/>
        <v xml:space="preserve">/PR:Clothing____SP:David20171012  $1066     </v>
      </c>
      <c r="G274">
        <f t="shared" si="87"/>
        <v>32</v>
      </c>
      <c r="H274" t="str">
        <f t="shared" si="88"/>
        <v>/PR:Clothing____SP:David20171012  $1066</v>
      </c>
      <c r="I274">
        <f t="shared" si="89"/>
        <v>54</v>
      </c>
      <c r="J274" t="str">
        <f t="shared" si="90"/>
        <v>PR:Clothing____SP:David20171012  $1066</v>
      </c>
      <c r="K274" t="str">
        <f t="shared" si="91"/>
        <v>PR:Clothing    SP:David20171012  $1066</v>
      </c>
      <c r="L274" t="str">
        <f t="shared" si="92"/>
        <v>Clothing    SP:David20171012  $1066</v>
      </c>
      <c r="M274" t="str">
        <f t="shared" si="93"/>
        <v>Clothing    David20171012  $1066</v>
      </c>
      <c r="N274" t="str">
        <f t="shared" si="94"/>
        <v>Clothing David20171012 $1066</v>
      </c>
      <c r="O274" t="str">
        <f t="shared" si="95"/>
        <v>Clothing David 20171012 $1066</v>
      </c>
      <c r="P274">
        <f t="shared" si="96"/>
        <v>9</v>
      </c>
      <c r="Q274">
        <f t="shared" si="97"/>
        <v>15</v>
      </c>
      <c r="R274">
        <f t="shared" si="98"/>
        <v>24</v>
      </c>
      <c r="S274" t="str">
        <f t="shared" si="99"/>
        <v>Clothing</v>
      </c>
      <c r="T274" t="str">
        <f t="shared" si="100"/>
        <v>David</v>
      </c>
      <c r="U274" t="str">
        <f t="shared" si="101"/>
        <v>20171012</v>
      </c>
      <c r="V274" t="str">
        <f t="shared" si="102"/>
        <v>1066</v>
      </c>
      <c r="W274" s="4">
        <f t="shared" si="103"/>
        <v>43020</v>
      </c>
      <c r="X274" s="5">
        <f t="shared" si="104"/>
        <v>1066</v>
      </c>
    </row>
    <row r="275" spans="3:24" x14ac:dyDescent="0.35">
      <c r="C275" s="2">
        <f t="shared" si="84"/>
        <v>274</v>
      </c>
      <c r="D275" t="s">
        <v>273</v>
      </c>
      <c r="E275">
        <f t="shared" si="85"/>
        <v>29</v>
      </c>
      <c r="F275" t="str">
        <f t="shared" si="86"/>
        <v xml:space="preserve">///PR:Books_SP:David20171025    $749 </v>
      </c>
      <c r="G275">
        <f t="shared" si="87"/>
        <v>32</v>
      </c>
      <c r="H275" t="str">
        <f t="shared" si="88"/>
        <v>///PR:Books_SP:David20171025    $749</v>
      </c>
      <c r="I275">
        <f t="shared" si="89"/>
        <v>57</v>
      </c>
      <c r="J275" t="str">
        <f t="shared" si="90"/>
        <v>PR:Books_SP:David20171025    $749</v>
      </c>
      <c r="K275" t="str">
        <f t="shared" si="91"/>
        <v>PR:Books SP:David20171025    $749</v>
      </c>
      <c r="L275" t="str">
        <f t="shared" si="92"/>
        <v>Books SP:David20171025    $749</v>
      </c>
      <c r="M275" t="str">
        <f t="shared" si="93"/>
        <v>Books David20171025    $749</v>
      </c>
      <c r="N275" t="str">
        <f t="shared" si="94"/>
        <v>Books David20171025 $749</v>
      </c>
      <c r="O275" t="str">
        <f t="shared" si="95"/>
        <v>Books David 20171025 $749</v>
      </c>
      <c r="P275">
        <f t="shared" si="96"/>
        <v>6</v>
      </c>
      <c r="Q275">
        <f t="shared" si="97"/>
        <v>12</v>
      </c>
      <c r="R275">
        <f t="shared" si="98"/>
        <v>21</v>
      </c>
      <c r="S275" t="str">
        <f t="shared" si="99"/>
        <v>Books</v>
      </c>
      <c r="T275" t="str">
        <f t="shared" si="100"/>
        <v>David</v>
      </c>
      <c r="U275" t="str">
        <f t="shared" si="101"/>
        <v>20171025</v>
      </c>
      <c r="V275" t="str">
        <f t="shared" si="102"/>
        <v>749</v>
      </c>
      <c r="W275" s="4">
        <f t="shared" si="103"/>
        <v>43033</v>
      </c>
      <c r="X275" s="5">
        <f t="shared" si="104"/>
        <v>749</v>
      </c>
    </row>
    <row r="276" spans="3:24" x14ac:dyDescent="0.35">
      <c r="C276" s="2">
        <f t="shared" si="84"/>
        <v>275</v>
      </c>
      <c r="D276" t="s">
        <v>274</v>
      </c>
      <c r="E276">
        <f t="shared" si="85"/>
        <v>31</v>
      </c>
      <c r="F276" t="str">
        <f t="shared" si="86"/>
        <v xml:space="preserve">/////PR:Clothing__SP:Carol2017107 $1535     </v>
      </c>
      <c r="G276">
        <f t="shared" si="87"/>
        <v>32</v>
      </c>
      <c r="H276" t="str">
        <f t="shared" si="88"/>
        <v>/////PR:Clothing__SP:Carol2017107 $1535</v>
      </c>
      <c r="I276">
        <f t="shared" si="89"/>
        <v>53</v>
      </c>
      <c r="J276" t="str">
        <f t="shared" si="90"/>
        <v>PR:Clothing__SP:Carol2017107 $1535</v>
      </c>
      <c r="K276" t="str">
        <f t="shared" si="91"/>
        <v>PR:Clothing  SP:Carol2017107 $1535</v>
      </c>
      <c r="L276" t="str">
        <f t="shared" si="92"/>
        <v>Clothing  SP:Carol2017107 $1535</v>
      </c>
      <c r="M276" t="str">
        <f t="shared" si="93"/>
        <v>Clothing  Carol2017107 $1535</v>
      </c>
      <c r="N276" t="str">
        <f t="shared" si="94"/>
        <v>Clothing Carol2017107 $1535</v>
      </c>
      <c r="O276" t="str">
        <f t="shared" si="95"/>
        <v>Clothing Carol 2017107 $1535</v>
      </c>
      <c r="P276">
        <f t="shared" si="96"/>
        <v>9</v>
      </c>
      <c r="Q276">
        <f t="shared" si="97"/>
        <v>15</v>
      </c>
      <c r="R276">
        <f t="shared" si="98"/>
        <v>23</v>
      </c>
      <c r="S276" t="str">
        <f t="shared" si="99"/>
        <v>Clothing</v>
      </c>
      <c r="T276" t="str">
        <f t="shared" si="100"/>
        <v>Carol</v>
      </c>
      <c r="U276" t="str">
        <f t="shared" si="101"/>
        <v>2017107</v>
      </c>
      <c r="V276" t="str">
        <f t="shared" si="102"/>
        <v>1535</v>
      </c>
      <c r="W276" s="4">
        <f t="shared" si="103"/>
        <v>43015</v>
      </c>
      <c r="X276" s="5">
        <f t="shared" si="104"/>
        <v>1535</v>
      </c>
    </row>
    <row r="277" spans="3:24" x14ac:dyDescent="0.35">
      <c r="C277" s="2">
        <f t="shared" si="84"/>
        <v>276</v>
      </c>
      <c r="D277" t="s">
        <v>275</v>
      </c>
      <c r="E277">
        <f t="shared" si="85"/>
        <v>30</v>
      </c>
      <c r="F277" t="str">
        <f t="shared" si="86"/>
        <v xml:space="preserve">/PR:Music___SP:Alice20171026   $1330   </v>
      </c>
      <c r="G277">
        <f t="shared" si="87"/>
        <v>32</v>
      </c>
      <c r="H277" t="str">
        <f t="shared" si="88"/>
        <v>/PR:Music___SP:Alice20171026   $1330</v>
      </c>
      <c r="I277">
        <f t="shared" si="89"/>
        <v>48</v>
      </c>
      <c r="J277" t="str">
        <f t="shared" si="90"/>
        <v>PR:Music___SP:Alice20171026   $1330</v>
      </c>
      <c r="K277" t="str">
        <f t="shared" si="91"/>
        <v>PR:Music   SP:Alice20171026   $1330</v>
      </c>
      <c r="L277" t="str">
        <f t="shared" si="92"/>
        <v>Music   SP:Alice20171026   $1330</v>
      </c>
      <c r="M277" t="str">
        <f t="shared" si="93"/>
        <v>Music   Alice20171026   $1330</v>
      </c>
      <c r="N277" t="str">
        <f t="shared" si="94"/>
        <v>Music Alice20171026 $1330</v>
      </c>
      <c r="O277" t="str">
        <f t="shared" si="95"/>
        <v>Music Alice 20171026 $1330</v>
      </c>
      <c r="P277">
        <f t="shared" si="96"/>
        <v>6</v>
      </c>
      <c r="Q277">
        <f t="shared" si="97"/>
        <v>12</v>
      </c>
      <c r="R277">
        <f t="shared" si="98"/>
        <v>21</v>
      </c>
      <c r="S277" t="str">
        <f t="shared" si="99"/>
        <v>Music</v>
      </c>
      <c r="T277" t="str">
        <f t="shared" si="100"/>
        <v>Alice</v>
      </c>
      <c r="U277" t="str">
        <f t="shared" si="101"/>
        <v>20171026</v>
      </c>
      <c r="V277" t="str">
        <f t="shared" si="102"/>
        <v>1330</v>
      </c>
      <c r="W277" s="4">
        <f t="shared" si="103"/>
        <v>43034</v>
      </c>
      <c r="X277" s="5">
        <f t="shared" si="104"/>
        <v>1330</v>
      </c>
    </row>
    <row r="278" spans="3:24" x14ac:dyDescent="0.35">
      <c r="C278" s="2">
        <f t="shared" si="84"/>
        <v>277</v>
      </c>
      <c r="D278" t="s">
        <v>276</v>
      </c>
      <c r="E278">
        <f t="shared" si="85"/>
        <v>30</v>
      </c>
      <c r="F278" t="str">
        <f t="shared" si="86"/>
        <v xml:space="preserve">/PR:Games__SP:Carol20171011 $0    </v>
      </c>
      <c r="G278">
        <f t="shared" si="87"/>
        <v>32</v>
      </c>
      <c r="H278" t="str">
        <f t="shared" si="88"/>
        <v>/PR:Games__SP:Carol20171011 $0</v>
      </c>
      <c r="I278">
        <f t="shared" si="89"/>
        <v>48</v>
      </c>
      <c r="J278" t="str">
        <f t="shared" si="90"/>
        <v>PR:Games__SP:Carol20171011 $0</v>
      </c>
      <c r="K278" t="str">
        <f t="shared" si="91"/>
        <v>PR:Games  SP:Carol20171011 $0</v>
      </c>
      <c r="L278" t="str">
        <f t="shared" si="92"/>
        <v>Games  SP:Carol20171011 $0</v>
      </c>
      <c r="M278" t="str">
        <f t="shared" si="93"/>
        <v>Games  Carol20171011 $0</v>
      </c>
      <c r="N278" t="str">
        <f t="shared" si="94"/>
        <v>Games Carol20171011 $0</v>
      </c>
      <c r="O278" t="str">
        <f t="shared" si="95"/>
        <v>Games Carol 20171011 $0</v>
      </c>
      <c r="P278">
        <f t="shared" si="96"/>
        <v>6</v>
      </c>
      <c r="Q278">
        <f t="shared" si="97"/>
        <v>12</v>
      </c>
      <c r="R278">
        <f t="shared" si="98"/>
        <v>21</v>
      </c>
      <c r="S278" t="str">
        <f t="shared" si="99"/>
        <v>Games</v>
      </c>
      <c r="T278" t="str">
        <f t="shared" si="100"/>
        <v>Carol</v>
      </c>
      <c r="U278" t="str">
        <f t="shared" si="101"/>
        <v>20171011</v>
      </c>
      <c r="V278" t="str">
        <f t="shared" si="102"/>
        <v>0</v>
      </c>
      <c r="W278" s="4">
        <f t="shared" si="103"/>
        <v>43019</v>
      </c>
      <c r="X278" s="5">
        <f t="shared" si="104"/>
        <v>0</v>
      </c>
    </row>
    <row r="279" spans="3:24" x14ac:dyDescent="0.35">
      <c r="C279" s="2">
        <f t="shared" si="84"/>
        <v>278</v>
      </c>
      <c r="D279" t="s">
        <v>277</v>
      </c>
      <c r="E279">
        <f t="shared" si="85"/>
        <v>29</v>
      </c>
      <c r="F279" t="str">
        <f t="shared" si="86"/>
        <v xml:space="preserve">/////PR:Games___SP:David2017106  $1248   </v>
      </c>
      <c r="G279">
        <f t="shared" si="87"/>
        <v>32</v>
      </c>
      <c r="H279" t="str">
        <f t="shared" si="88"/>
        <v>/////PR:Games___SP:David2017106  $1248</v>
      </c>
      <c r="I279">
        <f t="shared" si="89"/>
        <v>56</v>
      </c>
      <c r="J279" t="str">
        <f t="shared" si="90"/>
        <v>PR:Games___SP:David2017106  $1248</v>
      </c>
      <c r="K279" t="str">
        <f t="shared" si="91"/>
        <v>PR:Games   SP:David2017106  $1248</v>
      </c>
      <c r="L279" t="str">
        <f t="shared" si="92"/>
        <v>Games   SP:David2017106  $1248</v>
      </c>
      <c r="M279" t="str">
        <f t="shared" si="93"/>
        <v>Games   David2017106  $1248</v>
      </c>
      <c r="N279" t="str">
        <f t="shared" si="94"/>
        <v>Games David2017106 $1248</v>
      </c>
      <c r="O279" t="str">
        <f t="shared" si="95"/>
        <v>Games David 2017106 $1248</v>
      </c>
      <c r="P279">
        <f t="shared" si="96"/>
        <v>6</v>
      </c>
      <c r="Q279">
        <f t="shared" si="97"/>
        <v>12</v>
      </c>
      <c r="R279">
        <f t="shared" si="98"/>
        <v>20</v>
      </c>
      <c r="S279" t="str">
        <f t="shared" si="99"/>
        <v>Games</v>
      </c>
      <c r="T279" t="str">
        <f t="shared" si="100"/>
        <v>David</v>
      </c>
      <c r="U279" t="str">
        <f t="shared" si="101"/>
        <v>2017106</v>
      </c>
      <c r="V279" t="str">
        <f t="shared" si="102"/>
        <v>1248</v>
      </c>
      <c r="W279" s="4">
        <f t="shared" si="103"/>
        <v>43014</v>
      </c>
      <c r="X279" s="5">
        <f t="shared" si="104"/>
        <v>1248</v>
      </c>
    </row>
    <row r="280" spans="3:24" x14ac:dyDescent="0.35">
      <c r="C280" s="2">
        <f t="shared" si="84"/>
        <v>279</v>
      </c>
      <c r="D280" t="s">
        <v>278</v>
      </c>
      <c r="E280">
        <f t="shared" si="85"/>
        <v>31</v>
      </c>
      <c r="F280" t="str">
        <f t="shared" si="86"/>
        <v xml:space="preserve">//PR:Clothing__SP:David2017106     $1106 </v>
      </c>
      <c r="G280">
        <f t="shared" si="87"/>
        <v>32</v>
      </c>
      <c r="H280" t="str">
        <f t="shared" si="88"/>
        <v>//PR:Clothing__SP:David2017106     $1106</v>
      </c>
      <c r="I280">
        <f t="shared" si="89"/>
        <v>54</v>
      </c>
      <c r="J280" t="str">
        <f t="shared" si="90"/>
        <v>PR:Clothing__SP:David2017106     $1106</v>
      </c>
      <c r="K280" t="str">
        <f t="shared" si="91"/>
        <v>PR:Clothing  SP:David2017106     $1106</v>
      </c>
      <c r="L280" t="str">
        <f t="shared" si="92"/>
        <v>Clothing  SP:David2017106     $1106</v>
      </c>
      <c r="M280" t="str">
        <f t="shared" si="93"/>
        <v>Clothing  David2017106     $1106</v>
      </c>
      <c r="N280" t="str">
        <f t="shared" si="94"/>
        <v>Clothing David2017106 $1106</v>
      </c>
      <c r="O280" t="str">
        <f t="shared" si="95"/>
        <v>Clothing David 2017106 $1106</v>
      </c>
      <c r="P280">
        <f t="shared" si="96"/>
        <v>9</v>
      </c>
      <c r="Q280">
        <f t="shared" si="97"/>
        <v>15</v>
      </c>
      <c r="R280">
        <f t="shared" si="98"/>
        <v>23</v>
      </c>
      <c r="S280" t="str">
        <f t="shared" si="99"/>
        <v>Clothing</v>
      </c>
      <c r="T280" t="str">
        <f t="shared" si="100"/>
        <v>David</v>
      </c>
      <c r="U280" t="str">
        <f t="shared" si="101"/>
        <v>2017106</v>
      </c>
      <c r="V280" t="str">
        <f t="shared" si="102"/>
        <v>1106</v>
      </c>
      <c r="W280" s="4">
        <f t="shared" si="103"/>
        <v>43014</v>
      </c>
      <c r="X280" s="5">
        <f t="shared" si="104"/>
        <v>1106</v>
      </c>
    </row>
    <row r="281" spans="3:24" x14ac:dyDescent="0.35">
      <c r="C281" s="2">
        <f t="shared" si="84"/>
        <v>280</v>
      </c>
      <c r="D281" t="s">
        <v>279</v>
      </c>
      <c r="E281">
        <f t="shared" si="85"/>
        <v>29</v>
      </c>
      <c r="F281" t="str">
        <f t="shared" si="86"/>
        <v xml:space="preserve">//PR:Games____SP:Alice20171029     $1164    </v>
      </c>
      <c r="G281">
        <f t="shared" si="87"/>
        <v>32</v>
      </c>
      <c r="H281" t="str">
        <f t="shared" si="88"/>
        <v>//PR:Games____SP:Alice20171029     $1164</v>
      </c>
      <c r="I281">
        <f t="shared" si="89"/>
        <v>52</v>
      </c>
      <c r="J281" t="str">
        <f t="shared" si="90"/>
        <v>PR:Games____SP:Alice20171029     $1164</v>
      </c>
      <c r="K281" t="str">
        <f t="shared" si="91"/>
        <v>PR:Games    SP:Alice20171029     $1164</v>
      </c>
      <c r="L281" t="str">
        <f t="shared" si="92"/>
        <v>Games    SP:Alice20171029     $1164</v>
      </c>
      <c r="M281" t="str">
        <f t="shared" si="93"/>
        <v>Games    Alice20171029     $1164</v>
      </c>
      <c r="N281" t="str">
        <f t="shared" si="94"/>
        <v>Games Alice20171029 $1164</v>
      </c>
      <c r="O281" t="str">
        <f t="shared" si="95"/>
        <v>Games Alice 20171029 $1164</v>
      </c>
      <c r="P281">
        <f t="shared" si="96"/>
        <v>6</v>
      </c>
      <c r="Q281">
        <f t="shared" si="97"/>
        <v>12</v>
      </c>
      <c r="R281">
        <f t="shared" si="98"/>
        <v>21</v>
      </c>
      <c r="S281" t="str">
        <f t="shared" si="99"/>
        <v>Games</v>
      </c>
      <c r="T281" t="str">
        <f t="shared" si="100"/>
        <v>Alice</v>
      </c>
      <c r="U281" t="str">
        <f t="shared" si="101"/>
        <v>20171029</v>
      </c>
      <c r="V281" t="str">
        <f t="shared" si="102"/>
        <v>1164</v>
      </c>
      <c r="W281" s="4">
        <f t="shared" si="103"/>
        <v>43037</v>
      </c>
      <c r="X281" s="5">
        <f t="shared" si="104"/>
        <v>1164</v>
      </c>
    </row>
    <row r="282" spans="3:24" x14ac:dyDescent="0.35">
      <c r="C282" s="2">
        <f t="shared" si="84"/>
        <v>281</v>
      </c>
      <c r="D282" t="s">
        <v>280</v>
      </c>
      <c r="E282">
        <f t="shared" si="85"/>
        <v>31</v>
      </c>
      <c r="F282" t="str">
        <f t="shared" si="86"/>
        <v xml:space="preserve">//PR:Games____SP:Barney2017106  $0 </v>
      </c>
      <c r="G282">
        <f t="shared" si="87"/>
        <v>32</v>
      </c>
      <c r="H282" t="str">
        <f t="shared" si="88"/>
        <v>//PR:Games____SP:Barney2017106  $0</v>
      </c>
      <c r="I282">
        <f t="shared" si="89"/>
        <v>48</v>
      </c>
      <c r="J282" t="str">
        <f t="shared" si="90"/>
        <v>PR:Games____SP:Barney2017106  $0</v>
      </c>
      <c r="K282" t="str">
        <f t="shared" si="91"/>
        <v>PR:Games    SP:Barney2017106  $0</v>
      </c>
      <c r="L282" t="str">
        <f t="shared" si="92"/>
        <v>Games    SP:Barney2017106  $0</v>
      </c>
      <c r="M282" t="str">
        <f t="shared" si="93"/>
        <v>Games    Barney2017106  $0</v>
      </c>
      <c r="N282" t="str">
        <f t="shared" si="94"/>
        <v>Games Barney2017106 $0</v>
      </c>
      <c r="O282" t="str">
        <f t="shared" si="95"/>
        <v>Games Barney 2017106 $0</v>
      </c>
      <c r="P282">
        <f t="shared" si="96"/>
        <v>6</v>
      </c>
      <c r="Q282">
        <f t="shared" si="97"/>
        <v>13</v>
      </c>
      <c r="R282">
        <f t="shared" si="98"/>
        <v>21</v>
      </c>
      <c r="S282" t="str">
        <f t="shared" si="99"/>
        <v>Games</v>
      </c>
      <c r="T282" t="str">
        <f t="shared" si="100"/>
        <v>Barney</v>
      </c>
      <c r="U282" t="str">
        <f t="shared" si="101"/>
        <v>2017106</v>
      </c>
      <c r="V282" t="str">
        <f t="shared" si="102"/>
        <v>0</v>
      </c>
      <c r="W282" s="4">
        <f t="shared" si="103"/>
        <v>43014</v>
      </c>
      <c r="X282" s="5">
        <f t="shared" si="104"/>
        <v>0</v>
      </c>
    </row>
    <row r="283" spans="3:24" x14ac:dyDescent="0.35">
      <c r="C283" s="2">
        <f t="shared" si="84"/>
        <v>282</v>
      </c>
      <c r="D283" t="s">
        <v>281</v>
      </c>
      <c r="E283">
        <f t="shared" si="85"/>
        <v>29</v>
      </c>
      <c r="F283" t="str">
        <f t="shared" si="86"/>
        <v xml:space="preserve">////PR:Games___SP:David20171030   $1281  </v>
      </c>
      <c r="G283">
        <f t="shared" si="87"/>
        <v>32</v>
      </c>
      <c r="H283" t="str">
        <f t="shared" si="88"/>
        <v>////PR:Games___SP:David20171030   $1281</v>
      </c>
      <c r="I283">
        <f t="shared" si="89"/>
        <v>49</v>
      </c>
      <c r="J283" t="str">
        <f t="shared" si="90"/>
        <v>PR:Games___SP:David20171030   $1281</v>
      </c>
      <c r="K283" t="str">
        <f t="shared" si="91"/>
        <v>PR:Games   SP:David20171030   $1281</v>
      </c>
      <c r="L283" t="str">
        <f t="shared" si="92"/>
        <v>Games   SP:David20171030   $1281</v>
      </c>
      <c r="M283" t="str">
        <f t="shared" si="93"/>
        <v>Games   David20171030   $1281</v>
      </c>
      <c r="N283" t="str">
        <f t="shared" si="94"/>
        <v>Games David20171030 $1281</v>
      </c>
      <c r="O283" t="str">
        <f t="shared" si="95"/>
        <v>Games David 20171030 $1281</v>
      </c>
      <c r="P283">
        <f t="shared" si="96"/>
        <v>6</v>
      </c>
      <c r="Q283">
        <f t="shared" si="97"/>
        <v>12</v>
      </c>
      <c r="R283">
        <f t="shared" si="98"/>
        <v>21</v>
      </c>
      <c r="S283" t="str">
        <f t="shared" si="99"/>
        <v>Games</v>
      </c>
      <c r="T283" t="str">
        <f t="shared" si="100"/>
        <v>David</v>
      </c>
      <c r="U283" t="str">
        <f t="shared" si="101"/>
        <v>20171030</v>
      </c>
      <c r="V283" t="str">
        <f t="shared" si="102"/>
        <v>1281</v>
      </c>
      <c r="W283" s="4">
        <f t="shared" si="103"/>
        <v>43038</v>
      </c>
      <c r="X283" s="5">
        <f t="shared" si="104"/>
        <v>1281</v>
      </c>
    </row>
    <row r="284" spans="3:24" x14ac:dyDescent="0.35">
      <c r="C284" s="2">
        <f t="shared" si="84"/>
        <v>283</v>
      </c>
      <c r="D284" t="s">
        <v>282</v>
      </c>
      <c r="E284">
        <f t="shared" si="85"/>
        <v>30</v>
      </c>
      <c r="F284" t="str">
        <f t="shared" si="86"/>
        <v xml:space="preserve">///PR:Music_SP:Alice20171019    $0     </v>
      </c>
      <c r="G284">
        <f t="shared" si="87"/>
        <v>32</v>
      </c>
      <c r="H284" t="str">
        <f t="shared" si="88"/>
        <v>///PR:Music_SP:Alice20171019    $0</v>
      </c>
      <c r="I284">
        <f t="shared" si="89"/>
        <v>48</v>
      </c>
      <c r="J284" t="str">
        <f t="shared" si="90"/>
        <v>PR:Music_SP:Alice20171019    $0</v>
      </c>
      <c r="K284" t="str">
        <f t="shared" si="91"/>
        <v>PR:Music SP:Alice20171019    $0</v>
      </c>
      <c r="L284" t="str">
        <f t="shared" si="92"/>
        <v>Music SP:Alice20171019    $0</v>
      </c>
      <c r="M284" t="str">
        <f t="shared" si="93"/>
        <v>Music Alice20171019    $0</v>
      </c>
      <c r="N284" t="str">
        <f t="shared" si="94"/>
        <v>Music Alice20171019 $0</v>
      </c>
      <c r="O284" t="str">
        <f t="shared" si="95"/>
        <v>Music Alice 20171019 $0</v>
      </c>
      <c r="P284">
        <f t="shared" si="96"/>
        <v>6</v>
      </c>
      <c r="Q284">
        <f t="shared" si="97"/>
        <v>12</v>
      </c>
      <c r="R284">
        <f t="shared" si="98"/>
        <v>21</v>
      </c>
      <c r="S284" t="str">
        <f t="shared" si="99"/>
        <v>Music</v>
      </c>
      <c r="T284" t="str">
        <f t="shared" si="100"/>
        <v>Alice</v>
      </c>
      <c r="U284" t="str">
        <f t="shared" si="101"/>
        <v>20171019</v>
      </c>
      <c r="V284" t="str">
        <f t="shared" si="102"/>
        <v>0</v>
      </c>
      <c r="W284" s="4">
        <f t="shared" si="103"/>
        <v>43027</v>
      </c>
      <c r="X284" s="5">
        <f t="shared" si="104"/>
        <v>0</v>
      </c>
    </row>
    <row r="285" spans="3:24" x14ac:dyDescent="0.35">
      <c r="C285" s="2">
        <f t="shared" si="84"/>
        <v>284</v>
      </c>
      <c r="D285" t="s">
        <v>283</v>
      </c>
      <c r="E285">
        <f t="shared" si="85"/>
        <v>31</v>
      </c>
      <c r="F285" t="str">
        <f t="shared" si="86"/>
        <v xml:space="preserve">//PR:Clothing_SP:Alice20171027   $0    </v>
      </c>
      <c r="G285">
        <f t="shared" si="87"/>
        <v>32</v>
      </c>
      <c r="H285" t="str">
        <f t="shared" si="88"/>
        <v>//PR:Clothing_SP:Alice20171027   $0</v>
      </c>
      <c r="I285">
        <f t="shared" si="89"/>
        <v>48</v>
      </c>
      <c r="J285" t="str">
        <f t="shared" si="90"/>
        <v>PR:Clothing_SP:Alice20171027   $0</v>
      </c>
      <c r="K285" t="str">
        <f t="shared" si="91"/>
        <v>PR:Clothing SP:Alice20171027   $0</v>
      </c>
      <c r="L285" t="str">
        <f t="shared" si="92"/>
        <v>Clothing SP:Alice20171027   $0</v>
      </c>
      <c r="M285" t="str">
        <f t="shared" si="93"/>
        <v>Clothing Alice20171027   $0</v>
      </c>
      <c r="N285" t="str">
        <f t="shared" si="94"/>
        <v>Clothing Alice20171027 $0</v>
      </c>
      <c r="O285" t="str">
        <f t="shared" si="95"/>
        <v>Clothing Alice 20171027 $0</v>
      </c>
      <c r="P285">
        <f t="shared" si="96"/>
        <v>9</v>
      </c>
      <c r="Q285">
        <f t="shared" si="97"/>
        <v>15</v>
      </c>
      <c r="R285">
        <f t="shared" si="98"/>
        <v>24</v>
      </c>
      <c r="S285" t="str">
        <f t="shared" si="99"/>
        <v>Clothing</v>
      </c>
      <c r="T285" t="str">
        <f t="shared" si="100"/>
        <v>Alice</v>
      </c>
      <c r="U285" t="str">
        <f t="shared" si="101"/>
        <v>20171027</v>
      </c>
      <c r="V285" t="str">
        <f t="shared" si="102"/>
        <v>0</v>
      </c>
      <c r="W285" s="4">
        <f t="shared" si="103"/>
        <v>43035</v>
      </c>
      <c r="X285" s="5">
        <f t="shared" si="104"/>
        <v>0</v>
      </c>
    </row>
    <row r="286" spans="3:24" x14ac:dyDescent="0.35">
      <c r="C286" s="2">
        <f t="shared" si="84"/>
        <v>285</v>
      </c>
      <c r="D286" t="s">
        <v>284</v>
      </c>
      <c r="E286">
        <f t="shared" si="85"/>
        <v>31</v>
      </c>
      <c r="F286" t="str">
        <f t="shared" si="86"/>
        <v xml:space="preserve">//PR:Books_____SP:David20171027     $0    </v>
      </c>
      <c r="G286">
        <f t="shared" si="87"/>
        <v>32</v>
      </c>
      <c r="H286" t="str">
        <f t="shared" si="88"/>
        <v>//PR:Books_____SP:David20171027     $0</v>
      </c>
      <c r="I286">
        <f t="shared" si="89"/>
        <v>48</v>
      </c>
      <c r="J286" t="str">
        <f t="shared" si="90"/>
        <v>PR:Books_____SP:David20171027     $0</v>
      </c>
      <c r="K286" t="str">
        <f t="shared" si="91"/>
        <v>PR:Books     SP:David20171027     $0</v>
      </c>
      <c r="L286" t="str">
        <f t="shared" si="92"/>
        <v>Books     SP:David20171027     $0</v>
      </c>
      <c r="M286" t="str">
        <f t="shared" si="93"/>
        <v>Books     David20171027     $0</v>
      </c>
      <c r="N286" t="str">
        <f t="shared" si="94"/>
        <v>Books David20171027 $0</v>
      </c>
      <c r="O286" t="str">
        <f t="shared" si="95"/>
        <v>Books David 20171027 $0</v>
      </c>
      <c r="P286">
        <f t="shared" si="96"/>
        <v>6</v>
      </c>
      <c r="Q286">
        <f t="shared" si="97"/>
        <v>12</v>
      </c>
      <c r="R286">
        <f t="shared" si="98"/>
        <v>21</v>
      </c>
      <c r="S286" t="str">
        <f t="shared" si="99"/>
        <v>Books</v>
      </c>
      <c r="T286" t="str">
        <f t="shared" si="100"/>
        <v>David</v>
      </c>
      <c r="U286" t="str">
        <f t="shared" si="101"/>
        <v>20171027</v>
      </c>
      <c r="V286" t="str">
        <f t="shared" si="102"/>
        <v>0</v>
      </c>
      <c r="W286" s="4">
        <f t="shared" si="103"/>
        <v>43035</v>
      </c>
      <c r="X286" s="5">
        <f t="shared" si="104"/>
        <v>0</v>
      </c>
    </row>
    <row r="287" spans="3:24" x14ac:dyDescent="0.35">
      <c r="C287" s="2">
        <f t="shared" si="84"/>
        <v>286</v>
      </c>
      <c r="D287" t="s">
        <v>285</v>
      </c>
      <c r="E287">
        <f t="shared" si="85"/>
        <v>30</v>
      </c>
      <c r="F287" t="str">
        <f t="shared" si="86"/>
        <v xml:space="preserve">//PR:Clothing____SP:Alice2017104     $1616 </v>
      </c>
      <c r="G287">
        <f t="shared" si="87"/>
        <v>32</v>
      </c>
      <c r="H287" t="str">
        <f t="shared" si="88"/>
        <v>//PR:Clothing____SP:Alice2017104     $1616</v>
      </c>
      <c r="I287">
        <f t="shared" si="89"/>
        <v>54</v>
      </c>
      <c r="J287" t="str">
        <f t="shared" si="90"/>
        <v>PR:Clothing____SP:Alice2017104     $1616</v>
      </c>
      <c r="K287" t="str">
        <f t="shared" si="91"/>
        <v>PR:Clothing    SP:Alice2017104     $1616</v>
      </c>
      <c r="L287" t="str">
        <f t="shared" si="92"/>
        <v>Clothing    SP:Alice2017104     $1616</v>
      </c>
      <c r="M287" t="str">
        <f t="shared" si="93"/>
        <v>Clothing    Alice2017104     $1616</v>
      </c>
      <c r="N287" t="str">
        <f t="shared" si="94"/>
        <v>Clothing Alice2017104 $1616</v>
      </c>
      <c r="O287" t="str">
        <f t="shared" si="95"/>
        <v>Clothing Alice 2017104 $1616</v>
      </c>
      <c r="P287">
        <f t="shared" si="96"/>
        <v>9</v>
      </c>
      <c r="Q287">
        <f t="shared" si="97"/>
        <v>15</v>
      </c>
      <c r="R287">
        <f t="shared" si="98"/>
        <v>23</v>
      </c>
      <c r="S287" t="str">
        <f t="shared" si="99"/>
        <v>Clothing</v>
      </c>
      <c r="T287" t="str">
        <f t="shared" si="100"/>
        <v>Alice</v>
      </c>
      <c r="U287" t="str">
        <f t="shared" si="101"/>
        <v>2017104</v>
      </c>
      <c r="V287" t="str">
        <f t="shared" si="102"/>
        <v>1616</v>
      </c>
      <c r="W287" s="4">
        <f t="shared" si="103"/>
        <v>43012</v>
      </c>
      <c r="X287" s="5">
        <f t="shared" si="104"/>
        <v>1616</v>
      </c>
    </row>
    <row r="288" spans="3:24" x14ac:dyDescent="0.35">
      <c r="C288" s="2">
        <f t="shared" si="84"/>
        <v>287</v>
      </c>
      <c r="D288" t="s">
        <v>286</v>
      </c>
      <c r="E288">
        <f t="shared" si="85"/>
        <v>30</v>
      </c>
      <c r="F288" t="str">
        <f t="shared" si="86"/>
        <v xml:space="preserve">////PR:Games_SP:Alice20171020    $2087 </v>
      </c>
      <c r="G288">
        <f t="shared" si="87"/>
        <v>32</v>
      </c>
      <c r="H288" t="str">
        <f t="shared" si="88"/>
        <v>////PR:Games_SP:Alice20171020    $2087</v>
      </c>
      <c r="I288">
        <f t="shared" si="89"/>
        <v>55</v>
      </c>
      <c r="J288" t="str">
        <f t="shared" si="90"/>
        <v>PR:Games_SP:Alice20171020    $2087</v>
      </c>
      <c r="K288" t="str">
        <f t="shared" si="91"/>
        <v>PR:Games SP:Alice20171020    $2087</v>
      </c>
      <c r="L288" t="str">
        <f t="shared" si="92"/>
        <v>Games SP:Alice20171020    $2087</v>
      </c>
      <c r="M288" t="str">
        <f t="shared" si="93"/>
        <v>Games Alice20171020    $2087</v>
      </c>
      <c r="N288" t="str">
        <f t="shared" si="94"/>
        <v>Games Alice20171020 $2087</v>
      </c>
      <c r="O288" t="str">
        <f t="shared" si="95"/>
        <v>Games Alice 20171020 $2087</v>
      </c>
      <c r="P288">
        <f t="shared" si="96"/>
        <v>6</v>
      </c>
      <c r="Q288">
        <f t="shared" si="97"/>
        <v>12</v>
      </c>
      <c r="R288">
        <f t="shared" si="98"/>
        <v>21</v>
      </c>
      <c r="S288" t="str">
        <f t="shared" si="99"/>
        <v>Games</v>
      </c>
      <c r="T288" t="str">
        <f t="shared" si="100"/>
        <v>Alice</v>
      </c>
      <c r="U288" t="str">
        <f t="shared" si="101"/>
        <v>20171020</v>
      </c>
      <c r="V288" t="str">
        <f t="shared" si="102"/>
        <v>2087</v>
      </c>
      <c r="W288" s="4">
        <f t="shared" si="103"/>
        <v>43028</v>
      </c>
      <c r="X288" s="5">
        <f t="shared" si="104"/>
        <v>2087</v>
      </c>
    </row>
    <row r="289" spans="3:24" x14ac:dyDescent="0.35">
      <c r="C289" s="2">
        <f t="shared" si="84"/>
        <v>288</v>
      </c>
      <c r="D289" t="s">
        <v>287</v>
      </c>
      <c r="E289">
        <f t="shared" si="85"/>
        <v>30</v>
      </c>
      <c r="F289" t="str">
        <f t="shared" si="86"/>
        <v xml:space="preserve">///PR:Books____SP:Alice20171024  $762   </v>
      </c>
      <c r="G289">
        <f t="shared" si="87"/>
        <v>32</v>
      </c>
      <c r="H289" t="str">
        <f t="shared" si="88"/>
        <v>///PR:Books____SP:Alice20171024  $762</v>
      </c>
      <c r="I289">
        <f t="shared" si="89"/>
        <v>50</v>
      </c>
      <c r="J289" t="str">
        <f t="shared" si="90"/>
        <v>PR:Books____SP:Alice20171024  $762</v>
      </c>
      <c r="K289" t="str">
        <f t="shared" si="91"/>
        <v>PR:Books    SP:Alice20171024  $762</v>
      </c>
      <c r="L289" t="str">
        <f t="shared" si="92"/>
        <v>Books    SP:Alice20171024  $762</v>
      </c>
      <c r="M289" t="str">
        <f t="shared" si="93"/>
        <v>Books    Alice20171024  $762</v>
      </c>
      <c r="N289" t="str">
        <f t="shared" si="94"/>
        <v>Books Alice20171024 $762</v>
      </c>
      <c r="O289" t="str">
        <f t="shared" si="95"/>
        <v>Books Alice 20171024 $762</v>
      </c>
      <c r="P289">
        <f t="shared" si="96"/>
        <v>6</v>
      </c>
      <c r="Q289">
        <f t="shared" si="97"/>
        <v>12</v>
      </c>
      <c r="R289">
        <f t="shared" si="98"/>
        <v>21</v>
      </c>
      <c r="S289" t="str">
        <f t="shared" si="99"/>
        <v>Books</v>
      </c>
      <c r="T289" t="str">
        <f t="shared" si="100"/>
        <v>Alice</v>
      </c>
      <c r="U289" t="str">
        <f t="shared" si="101"/>
        <v>20171024</v>
      </c>
      <c r="V289" t="str">
        <f t="shared" si="102"/>
        <v>762</v>
      </c>
      <c r="W289" s="4">
        <f t="shared" si="103"/>
        <v>43032</v>
      </c>
      <c r="X289" s="5">
        <f t="shared" si="104"/>
        <v>762</v>
      </c>
    </row>
    <row r="290" spans="3:24" x14ac:dyDescent="0.35">
      <c r="C290" s="2">
        <f t="shared" si="84"/>
        <v>289</v>
      </c>
      <c r="D290" t="s">
        <v>288</v>
      </c>
      <c r="E290">
        <f t="shared" si="85"/>
        <v>28</v>
      </c>
      <c r="F290" t="str">
        <f t="shared" si="86"/>
        <v xml:space="preserve">/////PR:Clothing____SP:Barney20171023     $0 </v>
      </c>
      <c r="G290">
        <f t="shared" si="87"/>
        <v>32</v>
      </c>
      <c r="H290" t="str">
        <f t="shared" si="88"/>
        <v>/////PR:Clothing____SP:Barney20171023     $0</v>
      </c>
      <c r="I290">
        <f t="shared" si="89"/>
        <v>48</v>
      </c>
      <c r="J290" t="str">
        <f t="shared" si="90"/>
        <v>PR:Clothing____SP:Barney20171023     $0</v>
      </c>
      <c r="K290" t="str">
        <f t="shared" si="91"/>
        <v>PR:Clothing    SP:Barney20171023     $0</v>
      </c>
      <c r="L290" t="str">
        <f t="shared" si="92"/>
        <v>Clothing    SP:Barney20171023     $0</v>
      </c>
      <c r="M290" t="str">
        <f t="shared" si="93"/>
        <v>Clothing    Barney20171023     $0</v>
      </c>
      <c r="N290" t="str">
        <f t="shared" si="94"/>
        <v>Clothing Barney20171023 $0</v>
      </c>
      <c r="O290" t="str">
        <f t="shared" si="95"/>
        <v>Clothing Barney 20171023 $0</v>
      </c>
      <c r="P290">
        <f t="shared" si="96"/>
        <v>9</v>
      </c>
      <c r="Q290">
        <f t="shared" si="97"/>
        <v>16</v>
      </c>
      <c r="R290">
        <f t="shared" si="98"/>
        <v>25</v>
      </c>
      <c r="S290" t="str">
        <f t="shared" si="99"/>
        <v>Clothing</v>
      </c>
      <c r="T290" t="str">
        <f t="shared" si="100"/>
        <v>Barney</v>
      </c>
      <c r="U290" t="str">
        <f t="shared" si="101"/>
        <v>20171023</v>
      </c>
      <c r="V290" t="str">
        <f t="shared" si="102"/>
        <v>0</v>
      </c>
      <c r="W290" s="4">
        <f t="shared" si="103"/>
        <v>43031</v>
      </c>
      <c r="X290" s="5">
        <f t="shared" si="104"/>
        <v>0</v>
      </c>
    </row>
    <row r="291" spans="3:24" x14ac:dyDescent="0.35">
      <c r="C291" s="2">
        <f t="shared" si="84"/>
        <v>290</v>
      </c>
      <c r="D291" t="s">
        <v>289</v>
      </c>
      <c r="E291">
        <f t="shared" si="85"/>
        <v>28</v>
      </c>
      <c r="F291" t="str">
        <f t="shared" si="86"/>
        <v xml:space="preserve">////PR:Books_SP:Barney2017103    $0  </v>
      </c>
      <c r="G291">
        <f t="shared" si="87"/>
        <v>32</v>
      </c>
      <c r="H291" t="str">
        <f t="shared" si="88"/>
        <v>////PR:Books_SP:Barney2017103    $0</v>
      </c>
      <c r="I291">
        <f t="shared" si="89"/>
        <v>48</v>
      </c>
      <c r="J291" t="str">
        <f t="shared" si="90"/>
        <v>PR:Books_SP:Barney2017103    $0</v>
      </c>
      <c r="K291" t="str">
        <f t="shared" si="91"/>
        <v>PR:Books SP:Barney2017103    $0</v>
      </c>
      <c r="L291" t="str">
        <f t="shared" si="92"/>
        <v>Books SP:Barney2017103    $0</v>
      </c>
      <c r="M291" t="str">
        <f t="shared" si="93"/>
        <v>Books Barney2017103    $0</v>
      </c>
      <c r="N291" t="str">
        <f t="shared" si="94"/>
        <v>Books Barney2017103 $0</v>
      </c>
      <c r="O291" t="str">
        <f t="shared" si="95"/>
        <v>Books Barney 2017103 $0</v>
      </c>
      <c r="P291">
        <f t="shared" si="96"/>
        <v>6</v>
      </c>
      <c r="Q291">
        <f t="shared" si="97"/>
        <v>13</v>
      </c>
      <c r="R291">
        <f t="shared" si="98"/>
        <v>21</v>
      </c>
      <c r="S291" t="str">
        <f t="shared" si="99"/>
        <v>Books</v>
      </c>
      <c r="T291" t="str">
        <f t="shared" si="100"/>
        <v>Barney</v>
      </c>
      <c r="U291" t="str">
        <f t="shared" si="101"/>
        <v>2017103</v>
      </c>
      <c r="V291" t="str">
        <f t="shared" si="102"/>
        <v>0</v>
      </c>
      <c r="W291" s="4">
        <f t="shared" si="103"/>
        <v>43011</v>
      </c>
      <c r="X291" s="5">
        <f t="shared" si="104"/>
        <v>0</v>
      </c>
    </row>
    <row r="292" spans="3:24" x14ac:dyDescent="0.35">
      <c r="C292" s="2">
        <f t="shared" si="84"/>
        <v>291</v>
      </c>
      <c r="D292" t="s">
        <v>290</v>
      </c>
      <c r="E292">
        <f t="shared" si="85"/>
        <v>28</v>
      </c>
      <c r="F292" t="str">
        <f t="shared" si="86"/>
        <v xml:space="preserve">//PR:Books__SP:David20171028    $904   </v>
      </c>
      <c r="G292">
        <f t="shared" si="87"/>
        <v>32</v>
      </c>
      <c r="H292" t="str">
        <f t="shared" si="88"/>
        <v>//PR:Books__SP:David20171028    $904</v>
      </c>
      <c r="I292">
        <f t="shared" si="89"/>
        <v>52</v>
      </c>
      <c r="J292" t="str">
        <f t="shared" si="90"/>
        <v>PR:Books__SP:David20171028    $904</v>
      </c>
      <c r="K292" t="str">
        <f t="shared" si="91"/>
        <v>PR:Books  SP:David20171028    $904</v>
      </c>
      <c r="L292" t="str">
        <f t="shared" si="92"/>
        <v>Books  SP:David20171028    $904</v>
      </c>
      <c r="M292" t="str">
        <f t="shared" si="93"/>
        <v>Books  David20171028    $904</v>
      </c>
      <c r="N292" t="str">
        <f t="shared" si="94"/>
        <v>Books David20171028 $904</v>
      </c>
      <c r="O292" t="str">
        <f t="shared" si="95"/>
        <v>Books David 20171028 $904</v>
      </c>
      <c r="P292">
        <f t="shared" si="96"/>
        <v>6</v>
      </c>
      <c r="Q292">
        <f t="shared" si="97"/>
        <v>12</v>
      </c>
      <c r="R292">
        <f t="shared" si="98"/>
        <v>21</v>
      </c>
      <c r="S292" t="str">
        <f t="shared" si="99"/>
        <v>Books</v>
      </c>
      <c r="T292" t="str">
        <f t="shared" si="100"/>
        <v>David</v>
      </c>
      <c r="U292" t="str">
        <f t="shared" si="101"/>
        <v>20171028</v>
      </c>
      <c r="V292" t="str">
        <f t="shared" si="102"/>
        <v>904</v>
      </c>
      <c r="W292" s="4">
        <f t="shared" si="103"/>
        <v>43036</v>
      </c>
      <c r="X292" s="5">
        <f t="shared" si="104"/>
        <v>904</v>
      </c>
    </row>
    <row r="293" spans="3:24" x14ac:dyDescent="0.35">
      <c r="C293" s="2">
        <f t="shared" si="84"/>
        <v>292</v>
      </c>
      <c r="D293" t="s">
        <v>291</v>
      </c>
      <c r="E293">
        <f t="shared" si="85"/>
        <v>31</v>
      </c>
      <c r="F293" t="str">
        <f t="shared" si="86"/>
        <v xml:space="preserve">//PR:Books__SP:Alice20171010     $0 </v>
      </c>
      <c r="G293">
        <f t="shared" si="87"/>
        <v>32</v>
      </c>
      <c r="H293" t="str">
        <f t="shared" si="88"/>
        <v>//PR:Books__SP:Alice20171010     $0</v>
      </c>
      <c r="I293">
        <f t="shared" si="89"/>
        <v>48</v>
      </c>
      <c r="J293" t="str">
        <f t="shared" si="90"/>
        <v>PR:Books__SP:Alice20171010     $0</v>
      </c>
      <c r="K293" t="str">
        <f t="shared" si="91"/>
        <v>PR:Books  SP:Alice20171010     $0</v>
      </c>
      <c r="L293" t="str">
        <f t="shared" si="92"/>
        <v>Books  SP:Alice20171010     $0</v>
      </c>
      <c r="M293" t="str">
        <f t="shared" si="93"/>
        <v>Books  Alice20171010     $0</v>
      </c>
      <c r="N293" t="str">
        <f t="shared" si="94"/>
        <v>Books Alice20171010 $0</v>
      </c>
      <c r="O293" t="str">
        <f t="shared" si="95"/>
        <v>Books Alice 20171010 $0</v>
      </c>
      <c r="P293">
        <f t="shared" si="96"/>
        <v>6</v>
      </c>
      <c r="Q293">
        <f t="shared" si="97"/>
        <v>12</v>
      </c>
      <c r="R293">
        <f t="shared" si="98"/>
        <v>21</v>
      </c>
      <c r="S293" t="str">
        <f t="shared" si="99"/>
        <v>Books</v>
      </c>
      <c r="T293" t="str">
        <f t="shared" si="100"/>
        <v>Alice</v>
      </c>
      <c r="U293" t="str">
        <f t="shared" si="101"/>
        <v>20171010</v>
      </c>
      <c r="V293" t="str">
        <f t="shared" si="102"/>
        <v>0</v>
      </c>
      <c r="W293" s="4">
        <f t="shared" si="103"/>
        <v>43018</v>
      </c>
      <c r="X293" s="5">
        <f t="shared" si="104"/>
        <v>0</v>
      </c>
    </row>
    <row r="294" spans="3:24" x14ac:dyDescent="0.35">
      <c r="C294" s="2">
        <f t="shared" si="84"/>
        <v>293</v>
      </c>
      <c r="D294" t="s">
        <v>292</v>
      </c>
      <c r="E294">
        <f t="shared" si="85"/>
        <v>29</v>
      </c>
      <c r="F294" t="str">
        <f t="shared" si="86"/>
        <v xml:space="preserve">///PR:Games___SP:Barney20171015 $0    </v>
      </c>
      <c r="G294">
        <f t="shared" si="87"/>
        <v>32</v>
      </c>
      <c r="H294" t="str">
        <f t="shared" si="88"/>
        <v>///PR:Games___SP:Barney20171015 $0</v>
      </c>
      <c r="I294">
        <f t="shared" si="89"/>
        <v>48</v>
      </c>
      <c r="J294" t="str">
        <f t="shared" si="90"/>
        <v>PR:Games___SP:Barney20171015 $0</v>
      </c>
      <c r="K294" t="str">
        <f t="shared" si="91"/>
        <v>PR:Games   SP:Barney20171015 $0</v>
      </c>
      <c r="L294" t="str">
        <f t="shared" si="92"/>
        <v>Games   SP:Barney20171015 $0</v>
      </c>
      <c r="M294" t="str">
        <f t="shared" si="93"/>
        <v>Games   Barney20171015 $0</v>
      </c>
      <c r="N294" t="str">
        <f t="shared" si="94"/>
        <v>Games Barney20171015 $0</v>
      </c>
      <c r="O294" t="str">
        <f t="shared" si="95"/>
        <v>Games Barney 20171015 $0</v>
      </c>
      <c r="P294">
        <f t="shared" si="96"/>
        <v>6</v>
      </c>
      <c r="Q294">
        <f t="shared" si="97"/>
        <v>13</v>
      </c>
      <c r="R294">
        <f t="shared" si="98"/>
        <v>22</v>
      </c>
      <c r="S294" t="str">
        <f t="shared" si="99"/>
        <v>Games</v>
      </c>
      <c r="T294" t="str">
        <f t="shared" si="100"/>
        <v>Barney</v>
      </c>
      <c r="U294" t="str">
        <f t="shared" si="101"/>
        <v>20171015</v>
      </c>
      <c r="V294" t="str">
        <f t="shared" si="102"/>
        <v>0</v>
      </c>
      <c r="W294" s="4">
        <f t="shared" si="103"/>
        <v>43023</v>
      </c>
      <c r="X294" s="5">
        <f t="shared" si="104"/>
        <v>0</v>
      </c>
    </row>
    <row r="295" spans="3:24" x14ac:dyDescent="0.35">
      <c r="C295" s="2">
        <f t="shared" si="84"/>
        <v>294</v>
      </c>
      <c r="D295" t="s">
        <v>293</v>
      </c>
      <c r="E295">
        <f t="shared" si="85"/>
        <v>29</v>
      </c>
      <c r="F295" t="str">
        <f t="shared" si="86"/>
        <v xml:space="preserve">////PR:Books__SP:David2017106 $523  </v>
      </c>
      <c r="G295">
        <f t="shared" si="87"/>
        <v>32</v>
      </c>
      <c r="H295" t="str">
        <f t="shared" si="88"/>
        <v>////PR:Books__SP:David2017106 $523</v>
      </c>
      <c r="I295">
        <f t="shared" si="89"/>
        <v>51</v>
      </c>
      <c r="J295" t="str">
        <f t="shared" si="90"/>
        <v>PR:Books__SP:David2017106 $523</v>
      </c>
      <c r="K295" t="str">
        <f t="shared" si="91"/>
        <v>PR:Books  SP:David2017106 $523</v>
      </c>
      <c r="L295" t="str">
        <f t="shared" si="92"/>
        <v>Books  SP:David2017106 $523</v>
      </c>
      <c r="M295" t="str">
        <f t="shared" si="93"/>
        <v>Books  David2017106 $523</v>
      </c>
      <c r="N295" t="str">
        <f t="shared" si="94"/>
        <v>Books David2017106 $523</v>
      </c>
      <c r="O295" t="str">
        <f t="shared" si="95"/>
        <v>Books David 2017106 $523</v>
      </c>
      <c r="P295">
        <f t="shared" si="96"/>
        <v>6</v>
      </c>
      <c r="Q295">
        <f t="shared" si="97"/>
        <v>12</v>
      </c>
      <c r="R295">
        <f t="shared" si="98"/>
        <v>20</v>
      </c>
      <c r="S295" t="str">
        <f t="shared" si="99"/>
        <v>Books</v>
      </c>
      <c r="T295" t="str">
        <f t="shared" si="100"/>
        <v>David</v>
      </c>
      <c r="U295" t="str">
        <f t="shared" si="101"/>
        <v>2017106</v>
      </c>
      <c r="V295" t="str">
        <f t="shared" si="102"/>
        <v>523</v>
      </c>
      <c r="W295" s="4">
        <f t="shared" si="103"/>
        <v>43014</v>
      </c>
      <c r="X295" s="5">
        <f t="shared" si="104"/>
        <v>523</v>
      </c>
    </row>
    <row r="296" spans="3:24" x14ac:dyDescent="0.35">
      <c r="C296" s="2">
        <f t="shared" si="84"/>
        <v>295</v>
      </c>
      <c r="D296" t="s">
        <v>294</v>
      </c>
      <c r="E296">
        <f t="shared" si="85"/>
        <v>28</v>
      </c>
      <c r="F296" t="str">
        <f t="shared" si="86"/>
        <v xml:space="preserve">////PR:Clothing_SP:Carol20171018  $905     </v>
      </c>
      <c r="G296">
        <f t="shared" si="87"/>
        <v>32</v>
      </c>
      <c r="H296" t="str">
        <f t="shared" si="88"/>
        <v>////PR:Clothing_SP:Carol20171018  $905</v>
      </c>
      <c r="I296">
        <f t="shared" si="89"/>
        <v>53</v>
      </c>
      <c r="J296" t="str">
        <f t="shared" si="90"/>
        <v>PR:Clothing_SP:Carol20171018  $905</v>
      </c>
      <c r="K296" t="str">
        <f t="shared" si="91"/>
        <v>PR:Clothing SP:Carol20171018  $905</v>
      </c>
      <c r="L296" t="str">
        <f t="shared" si="92"/>
        <v>Clothing SP:Carol20171018  $905</v>
      </c>
      <c r="M296" t="str">
        <f t="shared" si="93"/>
        <v>Clothing Carol20171018  $905</v>
      </c>
      <c r="N296" t="str">
        <f t="shared" si="94"/>
        <v>Clothing Carol20171018 $905</v>
      </c>
      <c r="O296" t="str">
        <f t="shared" si="95"/>
        <v>Clothing Carol 20171018 $905</v>
      </c>
      <c r="P296">
        <f t="shared" si="96"/>
        <v>9</v>
      </c>
      <c r="Q296">
        <f t="shared" si="97"/>
        <v>15</v>
      </c>
      <c r="R296">
        <f t="shared" si="98"/>
        <v>24</v>
      </c>
      <c r="S296" t="str">
        <f t="shared" si="99"/>
        <v>Clothing</v>
      </c>
      <c r="T296" t="str">
        <f t="shared" si="100"/>
        <v>Carol</v>
      </c>
      <c r="U296" t="str">
        <f t="shared" si="101"/>
        <v>20171018</v>
      </c>
      <c r="V296" t="str">
        <f t="shared" si="102"/>
        <v>905</v>
      </c>
      <c r="W296" s="4">
        <f t="shared" si="103"/>
        <v>43026</v>
      </c>
      <c r="X296" s="5">
        <f t="shared" si="104"/>
        <v>905</v>
      </c>
    </row>
    <row r="297" spans="3:24" x14ac:dyDescent="0.35">
      <c r="C297" s="2">
        <f t="shared" si="84"/>
        <v>296</v>
      </c>
      <c r="D297" t="s">
        <v>295</v>
      </c>
      <c r="E297">
        <f t="shared" si="85"/>
        <v>28</v>
      </c>
      <c r="F297" t="str">
        <f t="shared" si="86"/>
        <v xml:space="preserve">/PR:Clothing____SP:Alice20171021  $834   </v>
      </c>
      <c r="G297">
        <f t="shared" si="87"/>
        <v>32</v>
      </c>
      <c r="H297" t="str">
        <f t="shared" si="88"/>
        <v>/PR:Clothing____SP:Alice20171021  $834</v>
      </c>
      <c r="I297">
        <f t="shared" si="89"/>
        <v>52</v>
      </c>
      <c r="J297" t="str">
        <f t="shared" si="90"/>
        <v>PR:Clothing____SP:Alice20171021  $834</v>
      </c>
      <c r="K297" t="str">
        <f t="shared" si="91"/>
        <v>PR:Clothing    SP:Alice20171021  $834</v>
      </c>
      <c r="L297" t="str">
        <f t="shared" si="92"/>
        <v>Clothing    SP:Alice20171021  $834</v>
      </c>
      <c r="M297" t="str">
        <f t="shared" si="93"/>
        <v>Clothing    Alice20171021  $834</v>
      </c>
      <c r="N297" t="str">
        <f t="shared" si="94"/>
        <v>Clothing Alice20171021 $834</v>
      </c>
      <c r="O297" t="str">
        <f t="shared" si="95"/>
        <v>Clothing Alice 20171021 $834</v>
      </c>
      <c r="P297">
        <f t="shared" si="96"/>
        <v>9</v>
      </c>
      <c r="Q297">
        <f t="shared" si="97"/>
        <v>15</v>
      </c>
      <c r="R297">
        <f t="shared" si="98"/>
        <v>24</v>
      </c>
      <c r="S297" t="str">
        <f t="shared" si="99"/>
        <v>Clothing</v>
      </c>
      <c r="T297" t="str">
        <f t="shared" si="100"/>
        <v>Alice</v>
      </c>
      <c r="U297" t="str">
        <f t="shared" si="101"/>
        <v>20171021</v>
      </c>
      <c r="V297" t="str">
        <f t="shared" si="102"/>
        <v>834</v>
      </c>
      <c r="W297" s="4">
        <f t="shared" si="103"/>
        <v>43029</v>
      </c>
      <c r="X297" s="5">
        <f t="shared" si="104"/>
        <v>834</v>
      </c>
    </row>
    <row r="298" spans="3:24" x14ac:dyDescent="0.35">
      <c r="C298" s="2">
        <f t="shared" si="84"/>
        <v>297</v>
      </c>
      <c r="D298" t="s">
        <v>296</v>
      </c>
      <c r="E298">
        <f t="shared" si="85"/>
        <v>31</v>
      </c>
      <c r="F298" t="str">
        <f t="shared" si="86"/>
        <v xml:space="preserve">////PR:Clothing__SP:Barney20171017   $1740   </v>
      </c>
      <c r="G298">
        <f t="shared" si="87"/>
        <v>32</v>
      </c>
      <c r="H298" t="str">
        <f t="shared" si="88"/>
        <v>////PR:Clothing__SP:Barney20171017   $1740</v>
      </c>
      <c r="I298">
        <f t="shared" si="89"/>
        <v>48</v>
      </c>
      <c r="J298" t="str">
        <f t="shared" si="90"/>
        <v>PR:Clothing__SP:Barney20171017   $1740</v>
      </c>
      <c r="K298" t="str">
        <f t="shared" si="91"/>
        <v>PR:Clothing  SP:Barney20171017   $1740</v>
      </c>
      <c r="L298" t="str">
        <f t="shared" si="92"/>
        <v>Clothing  SP:Barney20171017   $1740</v>
      </c>
      <c r="M298" t="str">
        <f t="shared" si="93"/>
        <v>Clothing  Barney20171017   $1740</v>
      </c>
      <c r="N298" t="str">
        <f t="shared" si="94"/>
        <v>Clothing Barney20171017 $1740</v>
      </c>
      <c r="O298" t="str">
        <f t="shared" si="95"/>
        <v>Clothing Barney 20171017 $1740</v>
      </c>
      <c r="P298">
        <f t="shared" si="96"/>
        <v>9</v>
      </c>
      <c r="Q298">
        <f t="shared" si="97"/>
        <v>16</v>
      </c>
      <c r="R298">
        <f t="shared" si="98"/>
        <v>25</v>
      </c>
      <c r="S298" t="str">
        <f t="shared" si="99"/>
        <v>Clothing</v>
      </c>
      <c r="T298" t="str">
        <f t="shared" si="100"/>
        <v>Barney</v>
      </c>
      <c r="U298" t="str">
        <f t="shared" si="101"/>
        <v>20171017</v>
      </c>
      <c r="V298" t="str">
        <f t="shared" si="102"/>
        <v>1740</v>
      </c>
      <c r="W298" s="4">
        <f t="shared" si="103"/>
        <v>43025</v>
      </c>
      <c r="X298" s="5">
        <f t="shared" si="104"/>
        <v>1740</v>
      </c>
    </row>
    <row r="299" spans="3:24" x14ac:dyDescent="0.35">
      <c r="C299" s="2">
        <f t="shared" si="84"/>
        <v>298</v>
      </c>
      <c r="D299" t="s">
        <v>297</v>
      </c>
      <c r="E299">
        <f t="shared" si="85"/>
        <v>29</v>
      </c>
      <c r="F299" t="str">
        <f t="shared" si="86"/>
        <v xml:space="preserve">//PR:Music_SP:Carol20171013 $1143   </v>
      </c>
      <c r="G299">
        <f t="shared" si="87"/>
        <v>32</v>
      </c>
      <c r="H299" t="str">
        <f t="shared" si="88"/>
        <v>//PR:Music_SP:Carol20171013 $1143</v>
      </c>
      <c r="I299">
        <f t="shared" si="89"/>
        <v>51</v>
      </c>
      <c r="J299" t="str">
        <f t="shared" si="90"/>
        <v>PR:Music_SP:Carol20171013 $1143</v>
      </c>
      <c r="K299" t="str">
        <f t="shared" si="91"/>
        <v>PR:Music SP:Carol20171013 $1143</v>
      </c>
      <c r="L299" t="str">
        <f t="shared" si="92"/>
        <v>Music SP:Carol20171013 $1143</v>
      </c>
      <c r="M299" t="str">
        <f t="shared" si="93"/>
        <v>Music Carol20171013 $1143</v>
      </c>
      <c r="N299" t="str">
        <f t="shared" si="94"/>
        <v>Music Carol20171013 $1143</v>
      </c>
      <c r="O299" t="str">
        <f t="shared" si="95"/>
        <v>Music Carol 20171013 $1143</v>
      </c>
      <c r="P299">
        <f t="shared" si="96"/>
        <v>6</v>
      </c>
      <c r="Q299">
        <f t="shared" si="97"/>
        <v>12</v>
      </c>
      <c r="R299">
        <f t="shared" si="98"/>
        <v>21</v>
      </c>
      <c r="S299" t="str">
        <f t="shared" si="99"/>
        <v>Music</v>
      </c>
      <c r="T299" t="str">
        <f t="shared" si="100"/>
        <v>Carol</v>
      </c>
      <c r="U299" t="str">
        <f t="shared" si="101"/>
        <v>20171013</v>
      </c>
      <c r="V299" t="str">
        <f t="shared" si="102"/>
        <v>1143</v>
      </c>
      <c r="W299" s="4">
        <f t="shared" si="103"/>
        <v>43021</v>
      </c>
      <c r="X299" s="5">
        <f t="shared" si="104"/>
        <v>1143</v>
      </c>
    </row>
    <row r="300" spans="3:24" x14ac:dyDescent="0.35">
      <c r="C300" s="2">
        <f t="shared" si="84"/>
        <v>299</v>
      </c>
      <c r="D300" t="s">
        <v>298</v>
      </c>
      <c r="E300">
        <f t="shared" si="85"/>
        <v>31</v>
      </c>
      <c r="F300" t="str">
        <f t="shared" si="86"/>
        <v xml:space="preserve">/////PR:Clothing__SP:Barney20171019    $0 </v>
      </c>
      <c r="G300">
        <f t="shared" si="87"/>
        <v>32</v>
      </c>
      <c r="H300" t="str">
        <f t="shared" si="88"/>
        <v>/////PR:Clothing__SP:Barney20171019    $0</v>
      </c>
      <c r="I300">
        <f t="shared" si="89"/>
        <v>48</v>
      </c>
      <c r="J300" t="str">
        <f t="shared" si="90"/>
        <v>PR:Clothing__SP:Barney20171019    $0</v>
      </c>
      <c r="K300" t="str">
        <f t="shared" si="91"/>
        <v>PR:Clothing  SP:Barney20171019    $0</v>
      </c>
      <c r="L300" t="str">
        <f t="shared" si="92"/>
        <v>Clothing  SP:Barney20171019    $0</v>
      </c>
      <c r="M300" t="str">
        <f t="shared" si="93"/>
        <v>Clothing  Barney20171019    $0</v>
      </c>
      <c r="N300" t="str">
        <f t="shared" si="94"/>
        <v>Clothing Barney20171019 $0</v>
      </c>
      <c r="O300" t="str">
        <f t="shared" si="95"/>
        <v>Clothing Barney 20171019 $0</v>
      </c>
      <c r="P300">
        <f t="shared" si="96"/>
        <v>9</v>
      </c>
      <c r="Q300">
        <f t="shared" si="97"/>
        <v>16</v>
      </c>
      <c r="R300">
        <f t="shared" si="98"/>
        <v>25</v>
      </c>
      <c r="S300" t="str">
        <f t="shared" si="99"/>
        <v>Clothing</v>
      </c>
      <c r="T300" t="str">
        <f t="shared" si="100"/>
        <v>Barney</v>
      </c>
      <c r="U300" t="str">
        <f t="shared" si="101"/>
        <v>20171019</v>
      </c>
      <c r="V300" t="str">
        <f t="shared" si="102"/>
        <v>0</v>
      </c>
      <c r="W300" s="4">
        <f t="shared" si="103"/>
        <v>43027</v>
      </c>
      <c r="X300" s="5">
        <f t="shared" si="104"/>
        <v>0</v>
      </c>
    </row>
    <row r="301" spans="3:24" x14ac:dyDescent="0.35">
      <c r="C301" s="2">
        <f t="shared" si="84"/>
        <v>300</v>
      </c>
      <c r="D301" t="s">
        <v>299</v>
      </c>
      <c r="E301">
        <f t="shared" si="85"/>
        <v>29</v>
      </c>
      <c r="F301" t="str">
        <f t="shared" si="86"/>
        <v xml:space="preserve">//PR:Music__SP:Barney20171023  $984     </v>
      </c>
      <c r="G301">
        <f t="shared" si="87"/>
        <v>32</v>
      </c>
      <c r="H301" t="str">
        <f t="shared" si="88"/>
        <v>//PR:Music__SP:Barney20171023  $984</v>
      </c>
      <c r="I301">
        <f t="shared" si="89"/>
        <v>52</v>
      </c>
      <c r="J301" t="str">
        <f t="shared" si="90"/>
        <v>PR:Music__SP:Barney20171023  $984</v>
      </c>
      <c r="K301" t="str">
        <f t="shared" si="91"/>
        <v>PR:Music  SP:Barney20171023  $984</v>
      </c>
      <c r="L301" t="str">
        <f t="shared" si="92"/>
        <v>Music  SP:Barney20171023  $984</v>
      </c>
      <c r="M301" t="str">
        <f t="shared" si="93"/>
        <v>Music  Barney20171023  $984</v>
      </c>
      <c r="N301" t="str">
        <f t="shared" si="94"/>
        <v>Music Barney20171023 $984</v>
      </c>
      <c r="O301" t="str">
        <f t="shared" si="95"/>
        <v>Music Barney 20171023 $984</v>
      </c>
      <c r="P301">
        <f t="shared" si="96"/>
        <v>6</v>
      </c>
      <c r="Q301">
        <f t="shared" si="97"/>
        <v>13</v>
      </c>
      <c r="R301">
        <f t="shared" si="98"/>
        <v>22</v>
      </c>
      <c r="S301" t="str">
        <f t="shared" si="99"/>
        <v>Music</v>
      </c>
      <c r="T301" t="str">
        <f t="shared" si="100"/>
        <v>Barney</v>
      </c>
      <c r="U301" t="str">
        <f t="shared" si="101"/>
        <v>20171023</v>
      </c>
      <c r="V301" t="str">
        <f t="shared" si="102"/>
        <v>984</v>
      </c>
      <c r="W301" s="4">
        <f t="shared" si="103"/>
        <v>43031</v>
      </c>
      <c r="X301" s="5">
        <f t="shared" si="104"/>
        <v>984</v>
      </c>
    </row>
    <row r="302" spans="3:24" x14ac:dyDescent="0.35">
      <c r="C302" s="2">
        <f t="shared" si="84"/>
        <v>301</v>
      </c>
      <c r="D302" t="s">
        <v>300</v>
      </c>
      <c r="E302">
        <f t="shared" si="85"/>
        <v>31</v>
      </c>
      <c r="F302" t="str">
        <f t="shared" si="86"/>
        <v xml:space="preserve">//PR:Books__SP:Barney20171019 $604    </v>
      </c>
      <c r="G302">
        <f t="shared" si="87"/>
        <v>32</v>
      </c>
      <c r="H302" t="str">
        <f t="shared" si="88"/>
        <v>//PR:Books__SP:Barney20171019 $604</v>
      </c>
      <c r="I302">
        <f t="shared" si="89"/>
        <v>52</v>
      </c>
      <c r="J302" t="str">
        <f t="shared" si="90"/>
        <v>PR:Books__SP:Barney20171019 $604</v>
      </c>
      <c r="K302" t="str">
        <f t="shared" si="91"/>
        <v>PR:Books  SP:Barney20171019 $604</v>
      </c>
      <c r="L302" t="str">
        <f t="shared" si="92"/>
        <v>Books  SP:Barney20171019 $604</v>
      </c>
      <c r="M302" t="str">
        <f t="shared" si="93"/>
        <v>Books  Barney20171019 $604</v>
      </c>
      <c r="N302" t="str">
        <f t="shared" si="94"/>
        <v>Books Barney20171019 $604</v>
      </c>
      <c r="O302" t="str">
        <f t="shared" si="95"/>
        <v>Books Barney 20171019 $604</v>
      </c>
      <c r="P302">
        <f t="shared" si="96"/>
        <v>6</v>
      </c>
      <c r="Q302">
        <f t="shared" si="97"/>
        <v>13</v>
      </c>
      <c r="R302">
        <f t="shared" si="98"/>
        <v>22</v>
      </c>
      <c r="S302" t="str">
        <f t="shared" si="99"/>
        <v>Books</v>
      </c>
      <c r="T302" t="str">
        <f t="shared" si="100"/>
        <v>Barney</v>
      </c>
      <c r="U302" t="str">
        <f t="shared" si="101"/>
        <v>20171019</v>
      </c>
      <c r="V302" t="str">
        <f t="shared" si="102"/>
        <v>604</v>
      </c>
      <c r="W302" s="4">
        <f t="shared" si="103"/>
        <v>43027</v>
      </c>
      <c r="X302" s="5">
        <f t="shared" si="104"/>
        <v>604</v>
      </c>
    </row>
    <row r="303" spans="3:24" x14ac:dyDescent="0.35">
      <c r="C303" s="2">
        <f t="shared" si="84"/>
        <v>302</v>
      </c>
      <c r="D303" t="s">
        <v>301</v>
      </c>
      <c r="E303">
        <f t="shared" si="85"/>
        <v>29</v>
      </c>
      <c r="F303" t="str">
        <f t="shared" si="86"/>
        <v xml:space="preserve">//PR:Games_____SP:Barney20171013   $1349    </v>
      </c>
      <c r="G303">
        <f t="shared" si="87"/>
        <v>32</v>
      </c>
      <c r="H303" t="str">
        <f t="shared" si="88"/>
        <v>//PR:Games_____SP:Barney20171013   $1349</v>
      </c>
      <c r="I303">
        <f t="shared" si="89"/>
        <v>57</v>
      </c>
      <c r="J303" t="str">
        <f t="shared" si="90"/>
        <v>PR:Games_____SP:Barney20171013   $1349</v>
      </c>
      <c r="K303" t="str">
        <f t="shared" si="91"/>
        <v>PR:Games     SP:Barney20171013   $1349</v>
      </c>
      <c r="L303" t="str">
        <f t="shared" si="92"/>
        <v>Games     SP:Barney20171013   $1349</v>
      </c>
      <c r="M303" t="str">
        <f t="shared" si="93"/>
        <v>Games     Barney20171013   $1349</v>
      </c>
      <c r="N303" t="str">
        <f t="shared" si="94"/>
        <v>Games Barney20171013 $1349</v>
      </c>
      <c r="O303" t="str">
        <f t="shared" si="95"/>
        <v>Games Barney 20171013 $1349</v>
      </c>
      <c r="P303">
        <f t="shared" si="96"/>
        <v>6</v>
      </c>
      <c r="Q303">
        <f t="shared" si="97"/>
        <v>13</v>
      </c>
      <c r="R303">
        <f t="shared" si="98"/>
        <v>22</v>
      </c>
      <c r="S303" t="str">
        <f t="shared" si="99"/>
        <v>Games</v>
      </c>
      <c r="T303" t="str">
        <f t="shared" si="100"/>
        <v>Barney</v>
      </c>
      <c r="U303" t="str">
        <f t="shared" si="101"/>
        <v>20171013</v>
      </c>
      <c r="V303" t="str">
        <f t="shared" si="102"/>
        <v>1349</v>
      </c>
      <c r="W303" s="4">
        <f t="shared" si="103"/>
        <v>43021</v>
      </c>
      <c r="X303" s="5">
        <f t="shared" si="104"/>
        <v>1349</v>
      </c>
    </row>
    <row r="304" spans="3:24" x14ac:dyDescent="0.35">
      <c r="C304" s="2">
        <f t="shared" si="84"/>
        <v>303</v>
      </c>
      <c r="D304" t="s">
        <v>302</v>
      </c>
      <c r="E304">
        <f t="shared" si="85"/>
        <v>30</v>
      </c>
      <c r="F304" t="str">
        <f t="shared" si="86"/>
        <v xml:space="preserve">//PR:Books_SP:David20171015  $852  </v>
      </c>
      <c r="G304">
        <f t="shared" si="87"/>
        <v>32</v>
      </c>
      <c r="H304" t="str">
        <f t="shared" si="88"/>
        <v>//PR:Books_SP:David20171015  $852</v>
      </c>
      <c r="I304">
        <f t="shared" si="89"/>
        <v>50</v>
      </c>
      <c r="J304" t="str">
        <f t="shared" si="90"/>
        <v>PR:Books_SP:David20171015  $852</v>
      </c>
      <c r="K304" t="str">
        <f t="shared" si="91"/>
        <v>PR:Books SP:David20171015  $852</v>
      </c>
      <c r="L304" t="str">
        <f t="shared" si="92"/>
        <v>Books SP:David20171015  $852</v>
      </c>
      <c r="M304" t="str">
        <f t="shared" si="93"/>
        <v>Books David20171015  $852</v>
      </c>
      <c r="N304" t="str">
        <f t="shared" si="94"/>
        <v>Books David20171015 $852</v>
      </c>
      <c r="O304" t="str">
        <f t="shared" si="95"/>
        <v>Books David 20171015 $852</v>
      </c>
      <c r="P304">
        <f t="shared" si="96"/>
        <v>6</v>
      </c>
      <c r="Q304">
        <f t="shared" si="97"/>
        <v>12</v>
      </c>
      <c r="R304">
        <f t="shared" si="98"/>
        <v>21</v>
      </c>
      <c r="S304" t="str">
        <f t="shared" si="99"/>
        <v>Books</v>
      </c>
      <c r="T304" t="str">
        <f t="shared" si="100"/>
        <v>David</v>
      </c>
      <c r="U304" t="str">
        <f t="shared" si="101"/>
        <v>20171015</v>
      </c>
      <c r="V304" t="str">
        <f t="shared" si="102"/>
        <v>852</v>
      </c>
      <c r="W304" s="4">
        <f t="shared" si="103"/>
        <v>43023</v>
      </c>
      <c r="X304" s="5">
        <f t="shared" si="104"/>
        <v>852</v>
      </c>
    </row>
    <row r="305" spans="3:24" x14ac:dyDescent="0.35">
      <c r="C305" s="2">
        <f t="shared" si="84"/>
        <v>304</v>
      </c>
      <c r="D305" t="s">
        <v>303</v>
      </c>
      <c r="E305">
        <f t="shared" si="85"/>
        <v>29</v>
      </c>
      <c r="F305" t="str">
        <f t="shared" si="86"/>
        <v xml:space="preserve">/PR:Books__SP:Barney20171014 $621     </v>
      </c>
      <c r="G305">
        <f t="shared" si="87"/>
        <v>32</v>
      </c>
      <c r="H305" t="str">
        <f t="shared" si="88"/>
        <v>/PR:Books__SP:Barney20171014 $621</v>
      </c>
      <c r="I305">
        <f t="shared" si="89"/>
        <v>49</v>
      </c>
      <c r="J305" t="str">
        <f t="shared" si="90"/>
        <v>PR:Books__SP:Barney20171014 $621</v>
      </c>
      <c r="K305" t="str">
        <f t="shared" si="91"/>
        <v>PR:Books  SP:Barney20171014 $621</v>
      </c>
      <c r="L305" t="str">
        <f t="shared" si="92"/>
        <v>Books  SP:Barney20171014 $621</v>
      </c>
      <c r="M305" t="str">
        <f t="shared" si="93"/>
        <v>Books  Barney20171014 $621</v>
      </c>
      <c r="N305" t="str">
        <f t="shared" si="94"/>
        <v>Books Barney20171014 $621</v>
      </c>
      <c r="O305" t="str">
        <f t="shared" si="95"/>
        <v>Books Barney 20171014 $621</v>
      </c>
      <c r="P305">
        <f t="shared" si="96"/>
        <v>6</v>
      </c>
      <c r="Q305">
        <f t="shared" si="97"/>
        <v>13</v>
      </c>
      <c r="R305">
        <f t="shared" si="98"/>
        <v>22</v>
      </c>
      <c r="S305" t="str">
        <f t="shared" si="99"/>
        <v>Books</v>
      </c>
      <c r="T305" t="str">
        <f t="shared" si="100"/>
        <v>Barney</v>
      </c>
      <c r="U305" t="str">
        <f t="shared" si="101"/>
        <v>20171014</v>
      </c>
      <c r="V305" t="str">
        <f t="shared" si="102"/>
        <v>621</v>
      </c>
      <c r="W305" s="4">
        <f t="shared" si="103"/>
        <v>43022</v>
      </c>
      <c r="X305" s="5">
        <f t="shared" si="104"/>
        <v>621</v>
      </c>
    </row>
    <row r="306" spans="3:24" x14ac:dyDescent="0.35">
      <c r="C306" s="2">
        <f t="shared" si="84"/>
        <v>305</v>
      </c>
      <c r="D306" t="s">
        <v>304</v>
      </c>
      <c r="E306">
        <f t="shared" si="85"/>
        <v>28</v>
      </c>
      <c r="F306" t="str">
        <f t="shared" si="86"/>
        <v xml:space="preserve">//PR:Books____SP:Alice20171026   $950  </v>
      </c>
      <c r="G306">
        <f t="shared" si="87"/>
        <v>32</v>
      </c>
      <c r="H306" t="str">
        <f t="shared" si="88"/>
        <v>//PR:Books____SP:Alice20171026   $950</v>
      </c>
      <c r="I306">
        <f t="shared" si="89"/>
        <v>48</v>
      </c>
      <c r="J306" t="str">
        <f t="shared" si="90"/>
        <v>PR:Books____SP:Alice20171026   $950</v>
      </c>
      <c r="K306" t="str">
        <f t="shared" si="91"/>
        <v>PR:Books    SP:Alice20171026   $950</v>
      </c>
      <c r="L306" t="str">
        <f t="shared" si="92"/>
        <v>Books    SP:Alice20171026   $950</v>
      </c>
      <c r="M306" t="str">
        <f t="shared" si="93"/>
        <v>Books    Alice20171026   $950</v>
      </c>
      <c r="N306" t="str">
        <f t="shared" si="94"/>
        <v>Books Alice20171026 $950</v>
      </c>
      <c r="O306" t="str">
        <f t="shared" si="95"/>
        <v>Books Alice 20171026 $950</v>
      </c>
      <c r="P306">
        <f t="shared" si="96"/>
        <v>6</v>
      </c>
      <c r="Q306">
        <f t="shared" si="97"/>
        <v>12</v>
      </c>
      <c r="R306">
        <f t="shared" si="98"/>
        <v>21</v>
      </c>
      <c r="S306" t="str">
        <f t="shared" si="99"/>
        <v>Books</v>
      </c>
      <c r="T306" t="str">
        <f t="shared" si="100"/>
        <v>Alice</v>
      </c>
      <c r="U306" t="str">
        <f t="shared" si="101"/>
        <v>20171026</v>
      </c>
      <c r="V306" t="str">
        <f t="shared" si="102"/>
        <v>950</v>
      </c>
      <c r="W306" s="4">
        <f t="shared" si="103"/>
        <v>43034</v>
      </c>
      <c r="X306" s="5">
        <f t="shared" si="104"/>
        <v>950</v>
      </c>
    </row>
    <row r="307" spans="3:24" x14ac:dyDescent="0.35">
      <c r="C307" s="2">
        <f t="shared" si="84"/>
        <v>306</v>
      </c>
      <c r="D307" t="s">
        <v>305</v>
      </c>
      <c r="E307">
        <f t="shared" si="85"/>
        <v>28</v>
      </c>
      <c r="F307" t="str">
        <f t="shared" si="86"/>
        <v xml:space="preserve">////PR:Books_SP:Carol20171020 $713  </v>
      </c>
      <c r="G307">
        <f t="shared" si="87"/>
        <v>32</v>
      </c>
      <c r="H307" t="str">
        <f t="shared" si="88"/>
        <v>////PR:Books_SP:Carol20171020 $713</v>
      </c>
      <c r="I307">
        <f t="shared" si="89"/>
        <v>51</v>
      </c>
      <c r="J307" t="str">
        <f t="shared" si="90"/>
        <v>PR:Books_SP:Carol20171020 $713</v>
      </c>
      <c r="K307" t="str">
        <f t="shared" si="91"/>
        <v>PR:Books SP:Carol20171020 $713</v>
      </c>
      <c r="L307" t="str">
        <f t="shared" si="92"/>
        <v>Books SP:Carol20171020 $713</v>
      </c>
      <c r="M307" t="str">
        <f t="shared" si="93"/>
        <v>Books Carol20171020 $713</v>
      </c>
      <c r="N307" t="str">
        <f t="shared" si="94"/>
        <v>Books Carol20171020 $713</v>
      </c>
      <c r="O307" t="str">
        <f t="shared" si="95"/>
        <v>Books Carol 20171020 $713</v>
      </c>
      <c r="P307">
        <f t="shared" si="96"/>
        <v>6</v>
      </c>
      <c r="Q307">
        <f t="shared" si="97"/>
        <v>12</v>
      </c>
      <c r="R307">
        <f t="shared" si="98"/>
        <v>21</v>
      </c>
      <c r="S307" t="str">
        <f t="shared" si="99"/>
        <v>Books</v>
      </c>
      <c r="T307" t="str">
        <f t="shared" si="100"/>
        <v>Carol</v>
      </c>
      <c r="U307" t="str">
        <f t="shared" si="101"/>
        <v>20171020</v>
      </c>
      <c r="V307" t="str">
        <f t="shared" si="102"/>
        <v>713</v>
      </c>
      <c r="W307" s="4">
        <f t="shared" si="103"/>
        <v>43028</v>
      </c>
      <c r="X307" s="5">
        <f t="shared" si="104"/>
        <v>713</v>
      </c>
    </row>
    <row r="308" spans="3:24" x14ac:dyDescent="0.35">
      <c r="C308" s="2">
        <f t="shared" si="84"/>
        <v>307</v>
      </c>
      <c r="D308" t="s">
        <v>306</v>
      </c>
      <c r="E308">
        <f t="shared" si="85"/>
        <v>29</v>
      </c>
      <c r="F308" t="str">
        <f t="shared" si="86"/>
        <v xml:space="preserve">///PR:Clothing___SP:Barney2017105    $999 </v>
      </c>
      <c r="G308">
        <f t="shared" si="87"/>
        <v>32</v>
      </c>
      <c r="H308" t="str">
        <f t="shared" si="88"/>
        <v>///PR:Clothing___SP:Barney2017105    $999</v>
      </c>
      <c r="I308">
        <f t="shared" si="89"/>
        <v>57</v>
      </c>
      <c r="J308" t="str">
        <f t="shared" si="90"/>
        <v>PR:Clothing___SP:Barney2017105    $999</v>
      </c>
      <c r="K308" t="str">
        <f t="shared" si="91"/>
        <v>PR:Clothing   SP:Barney2017105    $999</v>
      </c>
      <c r="L308" t="str">
        <f t="shared" si="92"/>
        <v>Clothing   SP:Barney2017105    $999</v>
      </c>
      <c r="M308" t="str">
        <f t="shared" si="93"/>
        <v>Clothing   Barney2017105    $999</v>
      </c>
      <c r="N308" t="str">
        <f t="shared" si="94"/>
        <v>Clothing Barney2017105 $999</v>
      </c>
      <c r="O308" t="str">
        <f t="shared" si="95"/>
        <v>Clothing Barney 2017105 $999</v>
      </c>
      <c r="P308">
        <f t="shared" si="96"/>
        <v>9</v>
      </c>
      <c r="Q308">
        <f t="shared" si="97"/>
        <v>16</v>
      </c>
      <c r="R308">
        <f t="shared" si="98"/>
        <v>24</v>
      </c>
      <c r="S308" t="str">
        <f t="shared" si="99"/>
        <v>Clothing</v>
      </c>
      <c r="T308" t="str">
        <f t="shared" si="100"/>
        <v>Barney</v>
      </c>
      <c r="U308" t="str">
        <f t="shared" si="101"/>
        <v>2017105</v>
      </c>
      <c r="V308" t="str">
        <f t="shared" si="102"/>
        <v>999</v>
      </c>
      <c r="W308" s="4">
        <f t="shared" si="103"/>
        <v>43013</v>
      </c>
      <c r="X308" s="5">
        <f t="shared" si="104"/>
        <v>999</v>
      </c>
    </row>
    <row r="309" spans="3:24" x14ac:dyDescent="0.35">
      <c r="C309" s="2">
        <f t="shared" si="84"/>
        <v>308</v>
      </c>
      <c r="D309" t="s">
        <v>307</v>
      </c>
      <c r="E309">
        <f t="shared" si="85"/>
        <v>31</v>
      </c>
      <c r="F309" t="str">
        <f t="shared" si="86"/>
        <v xml:space="preserve">//PR:Clothing____SP:Carol20171011     $1635     </v>
      </c>
      <c r="G309">
        <f t="shared" si="87"/>
        <v>32</v>
      </c>
      <c r="H309" t="str">
        <f t="shared" si="88"/>
        <v>//PR:Clothing____SP:Carol20171011     $1635</v>
      </c>
      <c r="I309">
        <f t="shared" si="89"/>
        <v>53</v>
      </c>
      <c r="J309" t="str">
        <f t="shared" si="90"/>
        <v>PR:Clothing____SP:Carol20171011     $1635</v>
      </c>
      <c r="K309" t="str">
        <f t="shared" si="91"/>
        <v>PR:Clothing    SP:Carol20171011     $1635</v>
      </c>
      <c r="L309" t="str">
        <f t="shared" si="92"/>
        <v>Clothing    SP:Carol20171011     $1635</v>
      </c>
      <c r="M309" t="str">
        <f t="shared" si="93"/>
        <v>Clothing    Carol20171011     $1635</v>
      </c>
      <c r="N309" t="str">
        <f t="shared" si="94"/>
        <v>Clothing Carol20171011 $1635</v>
      </c>
      <c r="O309" t="str">
        <f t="shared" si="95"/>
        <v>Clothing Carol 20171011 $1635</v>
      </c>
      <c r="P309">
        <f t="shared" si="96"/>
        <v>9</v>
      </c>
      <c r="Q309">
        <f t="shared" si="97"/>
        <v>15</v>
      </c>
      <c r="R309">
        <f t="shared" si="98"/>
        <v>24</v>
      </c>
      <c r="S309" t="str">
        <f t="shared" si="99"/>
        <v>Clothing</v>
      </c>
      <c r="T309" t="str">
        <f t="shared" si="100"/>
        <v>Carol</v>
      </c>
      <c r="U309" t="str">
        <f t="shared" si="101"/>
        <v>20171011</v>
      </c>
      <c r="V309" t="str">
        <f t="shared" si="102"/>
        <v>1635</v>
      </c>
      <c r="W309" s="4">
        <f t="shared" si="103"/>
        <v>43019</v>
      </c>
      <c r="X309" s="5">
        <f t="shared" si="104"/>
        <v>1635</v>
      </c>
    </row>
    <row r="310" spans="3:24" x14ac:dyDescent="0.35">
      <c r="C310" s="2">
        <f t="shared" si="84"/>
        <v>309</v>
      </c>
      <c r="D310" t="s">
        <v>308</v>
      </c>
      <c r="E310">
        <f t="shared" si="85"/>
        <v>31</v>
      </c>
      <c r="F310" t="str">
        <f t="shared" si="86"/>
        <v xml:space="preserve">////PR:Books_SP:Alice20171020 $940   </v>
      </c>
      <c r="G310">
        <f t="shared" si="87"/>
        <v>32</v>
      </c>
      <c r="H310" t="str">
        <f t="shared" si="88"/>
        <v>////PR:Books_SP:Alice20171020 $940</v>
      </c>
      <c r="I310">
        <f t="shared" si="89"/>
        <v>48</v>
      </c>
      <c r="J310" t="str">
        <f t="shared" si="90"/>
        <v>PR:Books_SP:Alice20171020 $940</v>
      </c>
      <c r="K310" t="str">
        <f t="shared" si="91"/>
        <v>PR:Books SP:Alice20171020 $940</v>
      </c>
      <c r="L310" t="str">
        <f t="shared" si="92"/>
        <v>Books SP:Alice20171020 $940</v>
      </c>
      <c r="M310" t="str">
        <f t="shared" si="93"/>
        <v>Books Alice20171020 $940</v>
      </c>
      <c r="N310" t="str">
        <f t="shared" si="94"/>
        <v>Books Alice20171020 $940</v>
      </c>
      <c r="O310" t="str">
        <f t="shared" si="95"/>
        <v>Books Alice 20171020 $940</v>
      </c>
      <c r="P310">
        <f t="shared" si="96"/>
        <v>6</v>
      </c>
      <c r="Q310">
        <f t="shared" si="97"/>
        <v>12</v>
      </c>
      <c r="R310">
        <f t="shared" si="98"/>
        <v>21</v>
      </c>
      <c r="S310" t="str">
        <f t="shared" si="99"/>
        <v>Books</v>
      </c>
      <c r="T310" t="str">
        <f t="shared" si="100"/>
        <v>Alice</v>
      </c>
      <c r="U310" t="str">
        <f t="shared" si="101"/>
        <v>20171020</v>
      </c>
      <c r="V310" t="str">
        <f t="shared" si="102"/>
        <v>940</v>
      </c>
      <c r="W310" s="4">
        <f t="shared" si="103"/>
        <v>43028</v>
      </c>
      <c r="X310" s="5">
        <f t="shared" si="104"/>
        <v>940</v>
      </c>
    </row>
    <row r="311" spans="3:24" x14ac:dyDescent="0.35">
      <c r="C311" s="2">
        <f t="shared" si="84"/>
        <v>310</v>
      </c>
      <c r="D311" t="s">
        <v>309</v>
      </c>
      <c r="E311">
        <f t="shared" si="85"/>
        <v>31</v>
      </c>
      <c r="F311" t="str">
        <f t="shared" si="86"/>
        <v xml:space="preserve">////PR:Music__SP:Alice20171018   $1071     </v>
      </c>
      <c r="G311">
        <f t="shared" si="87"/>
        <v>32</v>
      </c>
      <c r="H311" t="str">
        <f t="shared" si="88"/>
        <v>////PR:Music__SP:Alice20171018   $1071</v>
      </c>
      <c r="I311">
        <f t="shared" si="89"/>
        <v>49</v>
      </c>
      <c r="J311" t="str">
        <f t="shared" si="90"/>
        <v>PR:Music__SP:Alice20171018   $1071</v>
      </c>
      <c r="K311" t="str">
        <f t="shared" si="91"/>
        <v>PR:Music  SP:Alice20171018   $1071</v>
      </c>
      <c r="L311" t="str">
        <f t="shared" si="92"/>
        <v>Music  SP:Alice20171018   $1071</v>
      </c>
      <c r="M311" t="str">
        <f t="shared" si="93"/>
        <v>Music  Alice20171018   $1071</v>
      </c>
      <c r="N311" t="str">
        <f t="shared" si="94"/>
        <v>Music Alice20171018 $1071</v>
      </c>
      <c r="O311" t="str">
        <f t="shared" si="95"/>
        <v>Music Alice 20171018 $1071</v>
      </c>
      <c r="P311">
        <f t="shared" si="96"/>
        <v>6</v>
      </c>
      <c r="Q311">
        <f t="shared" si="97"/>
        <v>12</v>
      </c>
      <c r="R311">
        <f t="shared" si="98"/>
        <v>21</v>
      </c>
      <c r="S311" t="str">
        <f t="shared" si="99"/>
        <v>Music</v>
      </c>
      <c r="T311" t="str">
        <f t="shared" si="100"/>
        <v>Alice</v>
      </c>
      <c r="U311" t="str">
        <f t="shared" si="101"/>
        <v>20171018</v>
      </c>
      <c r="V311" t="str">
        <f t="shared" si="102"/>
        <v>1071</v>
      </c>
      <c r="W311" s="4">
        <f t="shared" si="103"/>
        <v>43026</v>
      </c>
      <c r="X311" s="5">
        <f t="shared" si="104"/>
        <v>1071</v>
      </c>
    </row>
    <row r="312" spans="3:24" x14ac:dyDescent="0.35">
      <c r="C312" s="2">
        <f t="shared" si="84"/>
        <v>311</v>
      </c>
      <c r="D312" t="s">
        <v>310</v>
      </c>
      <c r="E312">
        <f t="shared" si="85"/>
        <v>31</v>
      </c>
      <c r="F312" t="str">
        <f t="shared" si="86"/>
        <v xml:space="preserve">//PR:Music__SP:David2017104  $0   </v>
      </c>
      <c r="G312">
        <f t="shared" si="87"/>
        <v>32</v>
      </c>
      <c r="H312" t="str">
        <f t="shared" si="88"/>
        <v>//PR:Music__SP:David2017104  $0</v>
      </c>
      <c r="I312">
        <f t="shared" si="89"/>
        <v>48</v>
      </c>
      <c r="J312" t="str">
        <f t="shared" si="90"/>
        <v>PR:Music__SP:David2017104  $0</v>
      </c>
      <c r="K312" t="str">
        <f t="shared" si="91"/>
        <v>PR:Music  SP:David2017104  $0</v>
      </c>
      <c r="L312" t="str">
        <f t="shared" si="92"/>
        <v>Music  SP:David2017104  $0</v>
      </c>
      <c r="M312" t="str">
        <f t="shared" si="93"/>
        <v>Music  David2017104  $0</v>
      </c>
      <c r="N312" t="str">
        <f t="shared" si="94"/>
        <v>Music David2017104 $0</v>
      </c>
      <c r="O312" t="str">
        <f t="shared" si="95"/>
        <v>Music David 2017104 $0</v>
      </c>
      <c r="P312">
        <f t="shared" si="96"/>
        <v>6</v>
      </c>
      <c r="Q312">
        <f t="shared" si="97"/>
        <v>12</v>
      </c>
      <c r="R312">
        <f t="shared" si="98"/>
        <v>20</v>
      </c>
      <c r="S312" t="str">
        <f t="shared" si="99"/>
        <v>Music</v>
      </c>
      <c r="T312" t="str">
        <f t="shared" si="100"/>
        <v>David</v>
      </c>
      <c r="U312" t="str">
        <f t="shared" si="101"/>
        <v>2017104</v>
      </c>
      <c r="V312" t="str">
        <f t="shared" si="102"/>
        <v>0</v>
      </c>
      <c r="W312" s="4">
        <f t="shared" si="103"/>
        <v>43012</v>
      </c>
      <c r="X312" s="5">
        <f t="shared" si="104"/>
        <v>0</v>
      </c>
    </row>
    <row r="313" spans="3:24" x14ac:dyDescent="0.35">
      <c r="C313" s="2">
        <f t="shared" si="84"/>
        <v>312</v>
      </c>
      <c r="D313" t="s">
        <v>311</v>
      </c>
      <c r="E313">
        <f t="shared" si="85"/>
        <v>30</v>
      </c>
      <c r="F313" t="str">
        <f t="shared" si="86"/>
        <v xml:space="preserve">////PR:Games____SP:David20171010  $1870  </v>
      </c>
      <c r="G313">
        <f t="shared" si="87"/>
        <v>32</v>
      </c>
      <c r="H313" t="str">
        <f t="shared" si="88"/>
        <v>////PR:Games____SP:David20171010  $1870</v>
      </c>
      <c r="I313">
        <f t="shared" si="89"/>
        <v>48</v>
      </c>
      <c r="J313" t="str">
        <f t="shared" si="90"/>
        <v>PR:Games____SP:David20171010  $1870</v>
      </c>
      <c r="K313" t="str">
        <f t="shared" si="91"/>
        <v>PR:Games    SP:David20171010  $1870</v>
      </c>
      <c r="L313" t="str">
        <f t="shared" si="92"/>
        <v>Games    SP:David20171010  $1870</v>
      </c>
      <c r="M313" t="str">
        <f t="shared" si="93"/>
        <v>Games    David20171010  $1870</v>
      </c>
      <c r="N313" t="str">
        <f t="shared" si="94"/>
        <v>Games David20171010 $1870</v>
      </c>
      <c r="O313" t="str">
        <f t="shared" si="95"/>
        <v>Games David 20171010 $1870</v>
      </c>
      <c r="P313">
        <f t="shared" si="96"/>
        <v>6</v>
      </c>
      <c r="Q313">
        <f t="shared" si="97"/>
        <v>12</v>
      </c>
      <c r="R313">
        <f t="shared" si="98"/>
        <v>21</v>
      </c>
      <c r="S313" t="str">
        <f t="shared" si="99"/>
        <v>Games</v>
      </c>
      <c r="T313" t="str">
        <f t="shared" si="100"/>
        <v>David</v>
      </c>
      <c r="U313" t="str">
        <f t="shared" si="101"/>
        <v>20171010</v>
      </c>
      <c r="V313" t="str">
        <f t="shared" si="102"/>
        <v>1870</v>
      </c>
      <c r="W313" s="4">
        <f t="shared" si="103"/>
        <v>43018</v>
      </c>
      <c r="X313" s="5">
        <f t="shared" si="104"/>
        <v>1870</v>
      </c>
    </row>
    <row r="314" spans="3:24" x14ac:dyDescent="0.35">
      <c r="C314" s="2">
        <f t="shared" si="84"/>
        <v>313</v>
      </c>
      <c r="D314" t="s">
        <v>312</v>
      </c>
      <c r="E314">
        <f t="shared" si="85"/>
        <v>29</v>
      </c>
      <c r="F314" t="str">
        <f t="shared" si="86"/>
        <v xml:space="preserve">///PR:Books__SP:Barney20171029 $764 </v>
      </c>
      <c r="G314">
        <f t="shared" si="87"/>
        <v>32</v>
      </c>
      <c r="H314" t="str">
        <f t="shared" si="88"/>
        <v>///PR:Books__SP:Barney20171029 $764</v>
      </c>
      <c r="I314">
        <f t="shared" si="89"/>
        <v>52</v>
      </c>
      <c r="J314" t="str">
        <f t="shared" si="90"/>
        <v>PR:Books__SP:Barney20171029 $764</v>
      </c>
      <c r="K314" t="str">
        <f t="shared" si="91"/>
        <v>PR:Books  SP:Barney20171029 $764</v>
      </c>
      <c r="L314" t="str">
        <f t="shared" si="92"/>
        <v>Books  SP:Barney20171029 $764</v>
      </c>
      <c r="M314" t="str">
        <f t="shared" si="93"/>
        <v>Books  Barney20171029 $764</v>
      </c>
      <c r="N314" t="str">
        <f t="shared" si="94"/>
        <v>Books Barney20171029 $764</v>
      </c>
      <c r="O314" t="str">
        <f t="shared" si="95"/>
        <v>Books Barney 20171029 $764</v>
      </c>
      <c r="P314">
        <f t="shared" si="96"/>
        <v>6</v>
      </c>
      <c r="Q314">
        <f t="shared" si="97"/>
        <v>13</v>
      </c>
      <c r="R314">
        <f t="shared" si="98"/>
        <v>22</v>
      </c>
      <c r="S314" t="str">
        <f t="shared" si="99"/>
        <v>Books</v>
      </c>
      <c r="T314" t="str">
        <f t="shared" si="100"/>
        <v>Barney</v>
      </c>
      <c r="U314" t="str">
        <f t="shared" si="101"/>
        <v>20171029</v>
      </c>
      <c r="V314" t="str">
        <f t="shared" si="102"/>
        <v>764</v>
      </c>
      <c r="W314" s="4">
        <f t="shared" si="103"/>
        <v>43037</v>
      </c>
      <c r="X314" s="5">
        <f t="shared" si="104"/>
        <v>764</v>
      </c>
    </row>
    <row r="315" spans="3:24" x14ac:dyDescent="0.35">
      <c r="C315" s="2">
        <f t="shared" si="84"/>
        <v>314</v>
      </c>
      <c r="D315" t="s">
        <v>313</v>
      </c>
      <c r="E315">
        <f t="shared" si="85"/>
        <v>29</v>
      </c>
      <c r="F315" t="str">
        <f t="shared" si="86"/>
        <v xml:space="preserve">//PR:Clothing_____SP:David20171023   $1176 </v>
      </c>
      <c r="G315">
        <f t="shared" si="87"/>
        <v>32</v>
      </c>
      <c r="H315" t="str">
        <f t="shared" si="88"/>
        <v>//PR:Clothing_____SP:David20171023   $1176</v>
      </c>
      <c r="I315">
        <f t="shared" si="89"/>
        <v>54</v>
      </c>
      <c r="J315" t="str">
        <f t="shared" si="90"/>
        <v>PR:Clothing_____SP:David20171023   $1176</v>
      </c>
      <c r="K315" t="str">
        <f t="shared" si="91"/>
        <v>PR:Clothing     SP:David20171023   $1176</v>
      </c>
      <c r="L315" t="str">
        <f t="shared" si="92"/>
        <v>Clothing     SP:David20171023   $1176</v>
      </c>
      <c r="M315" t="str">
        <f t="shared" si="93"/>
        <v>Clothing     David20171023   $1176</v>
      </c>
      <c r="N315" t="str">
        <f t="shared" si="94"/>
        <v>Clothing David20171023 $1176</v>
      </c>
      <c r="O315" t="str">
        <f t="shared" si="95"/>
        <v>Clothing David 20171023 $1176</v>
      </c>
      <c r="P315">
        <f t="shared" si="96"/>
        <v>9</v>
      </c>
      <c r="Q315">
        <f t="shared" si="97"/>
        <v>15</v>
      </c>
      <c r="R315">
        <f t="shared" si="98"/>
        <v>24</v>
      </c>
      <c r="S315" t="str">
        <f t="shared" si="99"/>
        <v>Clothing</v>
      </c>
      <c r="T315" t="str">
        <f t="shared" si="100"/>
        <v>David</v>
      </c>
      <c r="U315" t="str">
        <f t="shared" si="101"/>
        <v>20171023</v>
      </c>
      <c r="V315" t="str">
        <f t="shared" si="102"/>
        <v>1176</v>
      </c>
      <c r="W315" s="4">
        <f t="shared" si="103"/>
        <v>43031</v>
      </c>
      <c r="X315" s="5">
        <f t="shared" si="104"/>
        <v>1176</v>
      </c>
    </row>
    <row r="316" spans="3:24" x14ac:dyDescent="0.35">
      <c r="C316" s="2">
        <f t="shared" si="84"/>
        <v>315</v>
      </c>
      <c r="D316" t="s">
        <v>314</v>
      </c>
      <c r="E316">
        <f t="shared" si="85"/>
        <v>30</v>
      </c>
      <c r="F316" t="str">
        <f t="shared" si="86"/>
        <v xml:space="preserve">/PR:Clothing___SP:Alice20171024    $681 </v>
      </c>
      <c r="G316">
        <f t="shared" si="87"/>
        <v>32</v>
      </c>
      <c r="H316" t="str">
        <f t="shared" si="88"/>
        <v>/PR:Clothing___SP:Alice20171024    $681</v>
      </c>
      <c r="I316">
        <f t="shared" si="89"/>
        <v>49</v>
      </c>
      <c r="J316" t="str">
        <f t="shared" si="90"/>
        <v>PR:Clothing___SP:Alice20171024    $681</v>
      </c>
      <c r="K316" t="str">
        <f t="shared" si="91"/>
        <v>PR:Clothing   SP:Alice20171024    $681</v>
      </c>
      <c r="L316" t="str">
        <f t="shared" si="92"/>
        <v>Clothing   SP:Alice20171024    $681</v>
      </c>
      <c r="M316" t="str">
        <f t="shared" si="93"/>
        <v>Clothing   Alice20171024    $681</v>
      </c>
      <c r="N316" t="str">
        <f t="shared" si="94"/>
        <v>Clothing Alice20171024 $681</v>
      </c>
      <c r="O316" t="str">
        <f t="shared" si="95"/>
        <v>Clothing Alice 20171024 $681</v>
      </c>
      <c r="P316">
        <f t="shared" si="96"/>
        <v>9</v>
      </c>
      <c r="Q316">
        <f t="shared" si="97"/>
        <v>15</v>
      </c>
      <c r="R316">
        <f t="shared" si="98"/>
        <v>24</v>
      </c>
      <c r="S316" t="str">
        <f t="shared" si="99"/>
        <v>Clothing</v>
      </c>
      <c r="T316" t="str">
        <f t="shared" si="100"/>
        <v>Alice</v>
      </c>
      <c r="U316" t="str">
        <f t="shared" si="101"/>
        <v>20171024</v>
      </c>
      <c r="V316" t="str">
        <f t="shared" si="102"/>
        <v>681</v>
      </c>
      <c r="W316" s="4">
        <f t="shared" si="103"/>
        <v>43032</v>
      </c>
      <c r="X316" s="5">
        <f t="shared" si="104"/>
        <v>681</v>
      </c>
    </row>
    <row r="317" spans="3:24" x14ac:dyDescent="0.35">
      <c r="C317" s="2">
        <f t="shared" si="84"/>
        <v>316</v>
      </c>
      <c r="D317" t="s">
        <v>315</v>
      </c>
      <c r="E317">
        <f t="shared" si="85"/>
        <v>28</v>
      </c>
      <c r="F317" t="str">
        <f t="shared" si="86"/>
        <v xml:space="preserve">///PR:Music_____SP:Barney20171019    $1500  </v>
      </c>
      <c r="G317">
        <f t="shared" si="87"/>
        <v>32</v>
      </c>
      <c r="H317" t="str">
        <f t="shared" si="88"/>
        <v>///PR:Music_____SP:Barney20171019    $1500</v>
      </c>
      <c r="I317">
        <f t="shared" si="89"/>
        <v>48</v>
      </c>
      <c r="J317" t="str">
        <f t="shared" si="90"/>
        <v>PR:Music_____SP:Barney20171019    $1500</v>
      </c>
      <c r="K317" t="str">
        <f t="shared" si="91"/>
        <v>PR:Music     SP:Barney20171019    $1500</v>
      </c>
      <c r="L317" t="str">
        <f t="shared" si="92"/>
        <v>Music     SP:Barney20171019    $1500</v>
      </c>
      <c r="M317" t="str">
        <f t="shared" si="93"/>
        <v>Music     Barney20171019    $1500</v>
      </c>
      <c r="N317" t="str">
        <f t="shared" si="94"/>
        <v>Music Barney20171019 $1500</v>
      </c>
      <c r="O317" t="str">
        <f t="shared" si="95"/>
        <v>Music Barney 20171019 $1500</v>
      </c>
      <c r="P317">
        <f t="shared" si="96"/>
        <v>6</v>
      </c>
      <c r="Q317">
        <f t="shared" si="97"/>
        <v>13</v>
      </c>
      <c r="R317">
        <f t="shared" si="98"/>
        <v>22</v>
      </c>
      <c r="S317" t="str">
        <f t="shared" si="99"/>
        <v>Music</v>
      </c>
      <c r="T317" t="str">
        <f t="shared" si="100"/>
        <v>Barney</v>
      </c>
      <c r="U317" t="str">
        <f t="shared" si="101"/>
        <v>20171019</v>
      </c>
      <c r="V317" t="str">
        <f t="shared" si="102"/>
        <v>1500</v>
      </c>
      <c r="W317" s="4">
        <f t="shared" si="103"/>
        <v>43027</v>
      </c>
      <c r="X317" s="5">
        <f t="shared" si="104"/>
        <v>1500</v>
      </c>
    </row>
    <row r="318" spans="3:24" x14ac:dyDescent="0.35">
      <c r="C318" s="2">
        <f t="shared" si="84"/>
        <v>317</v>
      </c>
      <c r="D318" t="s">
        <v>316</v>
      </c>
      <c r="E318">
        <f t="shared" si="85"/>
        <v>30</v>
      </c>
      <c r="F318" t="str">
        <f t="shared" si="86"/>
        <v xml:space="preserve">/////PR:Music__SP:David20171029 $0     </v>
      </c>
      <c r="G318">
        <f t="shared" si="87"/>
        <v>32</v>
      </c>
      <c r="H318" t="str">
        <f t="shared" si="88"/>
        <v>/////PR:Music__SP:David20171029 $0</v>
      </c>
      <c r="I318">
        <f t="shared" si="89"/>
        <v>48</v>
      </c>
      <c r="J318" t="str">
        <f t="shared" si="90"/>
        <v>PR:Music__SP:David20171029 $0</v>
      </c>
      <c r="K318" t="str">
        <f t="shared" si="91"/>
        <v>PR:Music  SP:David20171029 $0</v>
      </c>
      <c r="L318" t="str">
        <f t="shared" si="92"/>
        <v>Music  SP:David20171029 $0</v>
      </c>
      <c r="M318" t="str">
        <f t="shared" si="93"/>
        <v>Music  David20171029 $0</v>
      </c>
      <c r="N318" t="str">
        <f t="shared" si="94"/>
        <v>Music David20171029 $0</v>
      </c>
      <c r="O318" t="str">
        <f t="shared" si="95"/>
        <v>Music David 20171029 $0</v>
      </c>
      <c r="P318">
        <f t="shared" si="96"/>
        <v>6</v>
      </c>
      <c r="Q318">
        <f t="shared" si="97"/>
        <v>12</v>
      </c>
      <c r="R318">
        <f t="shared" si="98"/>
        <v>21</v>
      </c>
      <c r="S318" t="str">
        <f t="shared" si="99"/>
        <v>Music</v>
      </c>
      <c r="T318" t="str">
        <f t="shared" si="100"/>
        <v>David</v>
      </c>
      <c r="U318" t="str">
        <f t="shared" si="101"/>
        <v>20171029</v>
      </c>
      <c r="V318" t="str">
        <f t="shared" si="102"/>
        <v>0</v>
      </c>
      <c r="W318" s="4">
        <f t="shared" si="103"/>
        <v>43037</v>
      </c>
      <c r="X318" s="5">
        <f t="shared" si="104"/>
        <v>0</v>
      </c>
    </row>
    <row r="319" spans="3:24" x14ac:dyDescent="0.35">
      <c r="C319" s="2">
        <f t="shared" si="84"/>
        <v>318</v>
      </c>
      <c r="D319" t="s">
        <v>317</v>
      </c>
      <c r="E319">
        <f t="shared" si="85"/>
        <v>28</v>
      </c>
      <c r="F319" t="str">
        <f t="shared" si="86"/>
        <v xml:space="preserve">//PR:Music__SP:Alice20171017     $0 </v>
      </c>
      <c r="G319">
        <f t="shared" si="87"/>
        <v>32</v>
      </c>
      <c r="H319" t="str">
        <f t="shared" si="88"/>
        <v>//PR:Music__SP:Alice20171017     $0</v>
      </c>
      <c r="I319">
        <f t="shared" si="89"/>
        <v>48</v>
      </c>
      <c r="J319" t="str">
        <f t="shared" si="90"/>
        <v>PR:Music__SP:Alice20171017     $0</v>
      </c>
      <c r="K319" t="str">
        <f t="shared" si="91"/>
        <v>PR:Music  SP:Alice20171017     $0</v>
      </c>
      <c r="L319" t="str">
        <f t="shared" si="92"/>
        <v>Music  SP:Alice20171017     $0</v>
      </c>
      <c r="M319" t="str">
        <f t="shared" si="93"/>
        <v>Music  Alice20171017     $0</v>
      </c>
      <c r="N319" t="str">
        <f t="shared" si="94"/>
        <v>Music Alice20171017 $0</v>
      </c>
      <c r="O319" t="str">
        <f t="shared" si="95"/>
        <v>Music Alice 20171017 $0</v>
      </c>
      <c r="P319">
        <f t="shared" si="96"/>
        <v>6</v>
      </c>
      <c r="Q319">
        <f t="shared" si="97"/>
        <v>12</v>
      </c>
      <c r="R319">
        <f t="shared" si="98"/>
        <v>21</v>
      </c>
      <c r="S319" t="str">
        <f t="shared" si="99"/>
        <v>Music</v>
      </c>
      <c r="T319" t="str">
        <f t="shared" si="100"/>
        <v>Alice</v>
      </c>
      <c r="U319" t="str">
        <f t="shared" si="101"/>
        <v>20171017</v>
      </c>
      <c r="V319" t="str">
        <f t="shared" si="102"/>
        <v>0</v>
      </c>
      <c r="W319" s="4">
        <f t="shared" si="103"/>
        <v>43025</v>
      </c>
      <c r="X319" s="5">
        <f t="shared" si="104"/>
        <v>0</v>
      </c>
    </row>
    <row r="320" spans="3:24" x14ac:dyDescent="0.35">
      <c r="C320" s="2">
        <f t="shared" si="84"/>
        <v>319</v>
      </c>
      <c r="D320" t="s">
        <v>318</v>
      </c>
      <c r="E320">
        <f t="shared" si="85"/>
        <v>29</v>
      </c>
      <c r="F320" t="str">
        <f t="shared" si="86"/>
        <v xml:space="preserve">/////PR:Music_SP:Carol2017105     $1428  </v>
      </c>
      <c r="G320">
        <f t="shared" si="87"/>
        <v>32</v>
      </c>
      <c r="H320" t="str">
        <f t="shared" si="88"/>
        <v>/////PR:Music_SP:Carol2017105     $1428</v>
      </c>
      <c r="I320">
        <f t="shared" si="89"/>
        <v>56</v>
      </c>
      <c r="J320" t="str">
        <f t="shared" si="90"/>
        <v>PR:Music_SP:Carol2017105     $1428</v>
      </c>
      <c r="K320" t="str">
        <f t="shared" si="91"/>
        <v>PR:Music SP:Carol2017105     $1428</v>
      </c>
      <c r="L320" t="str">
        <f t="shared" si="92"/>
        <v>Music SP:Carol2017105     $1428</v>
      </c>
      <c r="M320" t="str">
        <f t="shared" si="93"/>
        <v>Music Carol2017105     $1428</v>
      </c>
      <c r="N320" t="str">
        <f t="shared" si="94"/>
        <v>Music Carol2017105 $1428</v>
      </c>
      <c r="O320" t="str">
        <f t="shared" si="95"/>
        <v>Music Carol 2017105 $1428</v>
      </c>
      <c r="P320">
        <f t="shared" si="96"/>
        <v>6</v>
      </c>
      <c r="Q320">
        <f t="shared" si="97"/>
        <v>12</v>
      </c>
      <c r="R320">
        <f t="shared" si="98"/>
        <v>20</v>
      </c>
      <c r="S320" t="str">
        <f t="shared" si="99"/>
        <v>Music</v>
      </c>
      <c r="T320" t="str">
        <f t="shared" si="100"/>
        <v>Carol</v>
      </c>
      <c r="U320" t="str">
        <f t="shared" si="101"/>
        <v>2017105</v>
      </c>
      <c r="V320" t="str">
        <f t="shared" si="102"/>
        <v>1428</v>
      </c>
      <c r="W320" s="4">
        <f t="shared" si="103"/>
        <v>43013</v>
      </c>
      <c r="X320" s="5">
        <f t="shared" si="104"/>
        <v>1428</v>
      </c>
    </row>
    <row r="321" spans="3:24" x14ac:dyDescent="0.35">
      <c r="C321" s="2">
        <f t="shared" si="84"/>
        <v>320</v>
      </c>
      <c r="D321" t="s">
        <v>319</v>
      </c>
      <c r="E321">
        <f t="shared" si="85"/>
        <v>29</v>
      </c>
      <c r="F321" t="str">
        <f t="shared" si="86"/>
        <v xml:space="preserve">///PR:Music____SP:Carol20171023     $968     </v>
      </c>
      <c r="G321">
        <f t="shared" si="87"/>
        <v>32</v>
      </c>
      <c r="H321" t="str">
        <f t="shared" si="88"/>
        <v>///PR:Music____SP:Carol20171023     $968</v>
      </c>
      <c r="I321">
        <f t="shared" si="89"/>
        <v>56</v>
      </c>
      <c r="J321" t="str">
        <f t="shared" si="90"/>
        <v>PR:Music____SP:Carol20171023     $968</v>
      </c>
      <c r="K321" t="str">
        <f t="shared" si="91"/>
        <v>PR:Music    SP:Carol20171023     $968</v>
      </c>
      <c r="L321" t="str">
        <f t="shared" si="92"/>
        <v>Music    SP:Carol20171023     $968</v>
      </c>
      <c r="M321" t="str">
        <f t="shared" si="93"/>
        <v>Music    Carol20171023     $968</v>
      </c>
      <c r="N321" t="str">
        <f t="shared" si="94"/>
        <v>Music Carol20171023 $968</v>
      </c>
      <c r="O321" t="str">
        <f t="shared" si="95"/>
        <v>Music Carol 20171023 $968</v>
      </c>
      <c r="P321">
        <f t="shared" si="96"/>
        <v>6</v>
      </c>
      <c r="Q321">
        <f t="shared" si="97"/>
        <v>12</v>
      </c>
      <c r="R321">
        <f t="shared" si="98"/>
        <v>21</v>
      </c>
      <c r="S321" t="str">
        <f t="shared" si="99"/>
        <v>Music</v>
      </c>
      <c r="T321" t="str">
        <f t="shared" si="100"/>
        <v>Carol</v>
      </c>
      <c r="U321" t="str">
        <f t="shared" si="101"/>
        <v>20171023</v>
      </c>
      <c r="V321" t="str">
        <f t="shared" si="102"/>
        <v>968</v>
      </c>
      <c r="W321" s="4">
        <f t="shared" si="103"/>
        <v>43031</v>
      </c>
      <c r="X321" s="5">
        <f t="shared" si="104"/>
        <v>968</v>
      </c>
    </row>
    <row r="322" spans="3:24" x14ac:dyDescent="0.35">
      <c r="C322" s="2">
        <f t="shared" si="84"/>
        <v>321</v>
      </c>
      <c r="D322" t="s">
        <v>320</v>
      </c>
      <c r="E322">
        <f t="shared" si="85"/>
        <v>31</v>
      </c>
      <c r="F322" t="str">
        <f t="shared" si="86"/>
        <v xml:space="preserve">///PR:Games__SP:Alice20171026     $0    </v>
      </c>
      <c r="G322">
        <f t="shared" si="87"/>
        <v>32</v>
      </c>
      <c r="H322" t="str">
        <f t="shared" si="88"/>
        <v>///PR:Games__SP:Alice20171026     $0</v>
      </c>
      <c r="I322">
        <f t="shared" si="89"/>
        <v>48</v>
      </c>
      <c r="J322" t="str">
        <f t="shared" si="90"/>
        <v>PR:Games__SP:Alice20171026     $0</v>
      </c>
      <c r="K322" t="str">
        <f t="shared" si="91"/>
        <v>PR:Games  SP:Alice20171026     $0</v>
      </c>
      <c r="L322" t="str">
        <f t="shared" si="92"/>
        <v>Games  SP:Alice20171026     $0</v>
      </c>
      <c r="M322" t="str">
        <f t="shared" si="93"/>
        <v>Games  Alice20171026     $0</v>
      </c>
      <c r="N322" t="str">
        <f t="shared" si="94"/>
        <v>Games Alice20171026 $0</v>
      </c>
      <c r="O322" t="str">
        <f t="shared" si="95"/>
        <v>Games Alice 20171026 $0</v>
      </c>
      <c r="P322">
        <f t="shared" si="96"/>
        <v>6</v>
      </c>
      <c r="Q322">
        <f t="shared" si="97"/>
        <v>12</v>
      </c>
      <c r="R322">
        <f t="shared" si="98"/>
        <v>21</v>
      </c>
      <c r="S322" t="str">
        <f t="shared" si="99"/>
        <v>Games</v>
      </c>
      <c r="T322" t="str">
        <f t="shared" si="100"/>
        <v>Alice</v>
      </c>
      <c r="U322" t="str">
        <f t="shared" si="101"/>
        <v>20171026</v>
      </c>
      <c r="V322" t="str">
        <f t="shared" si="102"/>
        <v>0</v>
      </c>
      <c r="W322" s="4">
        <f t="shared" si="103"/>
        <v>43034</v>
      </c>
      <c r="X322" s="5">
        <f t="shared" si="104"/>
        <v>0</v>
      </c>
    </row>
    <row r="323" spans="3:24" x14ac:dyDescent="0.35">
      <c r="C323" s="2">
        <f t="shared" ref="C323:C386" si="105">C322+1</f>
        <v>322</v>
      </c>
      <c r="D323" t="s">
        <v>321</v>
      </c>
      <c r="E323">
        <f t="shared" ref="E323:E386" si="106">CODE(RIGHT(D323,1))</f>
        <v>28</v>
      </c>
      <c r="F323" t="str">
        <f t="shared" ref="F323:F386" si="107">CLEAN(D323)</f>
        <v xml:space="preserve">////PR:Games_____SP:Barney20171016   $1522  </v>
      </c>
      <c r="G323">
        <f t="shared" ref="G323:G386" si="108">CODE(RIGHT(F323,1))</f>
        <v>32</v>
      </c>
      <c r="H323" t="str">
        <f t="shared" ref="H323:H386" si="109">TRIM(F323)</f>
        <v>////PR:Games_____SP:Barney20171016   $1522</v>
      </c>
      <c r="I323">
        <f t="shared" ref="I323:I386" si="110">CODE(RIGHT(H323,1))</f>
        <v>50</v>
      </c>
      <c r="J323" t="str">
        <f t="shared" ref="J323:J386" si="111">SUBSTITUTE(H323,"/","")</f>
        <v>PR:Games_____SP:Barney20171016   $1522</v>
      </c>
      <c r="K323" t="str">
        <f t="shared" ref="K323:K386" si="112">SUBSTITUTE(J323,"_"," ")</f>
        <v>PR:Games     SP:Barney20171016   $1522</v>
      </c>
      <c r="L323" t="str">
        <f t="shared" ref="L323:L386" si="113">SUBSTITUTE(K323,"PR:","")</f>
        <v>Games     SP:Barney20171016   $1522</v>
      </c>
      <c r="M323" t="str">
        <f t="shared" ref="M323:M386" si="114">SUBSTITUTE(L323,"SP:","")</f>
        <v>Games     Barney20171016   $1522</v>
      </c>
      <c r="N323" t="str">
        <f t="shared" ref="N323:N386" si="115">TRIM(SUBSTITUTE(M323,CHAR(160)," "))</f>
        <v>Games Barney20171016 $1522</v>
      </c>
      <c r="O323" t="str">
        <f t="shared" ref="O323:O386" si="116">SUBSTITUTE(N323,"2017"," 2017")</f>
        <v>Games Barney 20171016 $1522</v>
      </c>
      <c r="P323">
        <f t="shared" ref="P323:P386" si="117">SEARCH(" ",O323,1)</f>
        <v>6</v>
      </c>
      <c r="Q323">
        <f t="shared" ref="Q323:Q386" si="118">SEARCH(" ",O323,P323+1)</f>
        <v>13</v>
      </c>
      <c r="R323">
        <f t="shared" ref="R323:R386" si="119">SEARCH(" ",O323,Q323+1)</f>
        <v>22</v>
      </c>
      <c r="S323" t="str">
        <f t="shared" ref="S323:S386" si="120">LEFT(O323,P323-1)</f>
        <v>Games</v>
      </c>
      <c r="T323" t="str">
        <f t="shared" ref="T323:T386" si="121">MID(O323,P323+1,Q323-P323-1)</f>
        <v>Barney</v>
      </c>
      <c r="U323" t="str">
        <f t="shared" ref="U323:U386" si="122">MID(O323,Q323+1,R323-Q323-1)</f>
        <v>20171016</v>
      </c>
      <c r="V323" t="str">
        <f t="shared" ref="V323:V386" si="123">MID(O323,R323+2,99)</f>
        <v>1522</v>
      </c>
      <c r="W323" s="4">
        <f t="shared" ref="W323:W386" si="124">DATE(2017,10,MID(U323,7,2))</f>
        <v>43024</v>
      </c>
      <c r="X323" s="5">
        <f t="shared" ref="X323:X386" si="125">VALUE(V323)</f>
        <v>1522</v>
      </c>
    </row>
    <row r="324" spans="3:24" x14ac:dyDescent="0.35">
      <c r="C324" s="2">
        <f t="shared" si="105"/>
        <v>323</v>
      </c>
      <c r="D324" t="s">
        <v>322</v>
      </c>
      <c r="E324">
        <f t="shared" si="106"/>
        <v>31</v>
      </c>
      <c r="F324" t="str">
        <f t="shared" si="107"/>
        <v xml:space="preserve">//PR:Music__SP:Carol20171019  $0 </v>
      </c>
      <c r="G324">
        <f t="shared" si="108"/>
        <v>32</v>
      </c>
      <c r="H324" t="str">
        <f t="shared" si="109"/>
        <v>//PR:Music__SP:Carol20171019  $0</v>
      </c>
      <c r="I324">
        <f t="shared" si="110"/>
        <v>48</v>
      </c>
      <c r="J324" t="str">
        <f t="shared" si="111"/>
        <v>PR:Music__SP:Carol20171019  $0</v>
      </c>
      <c r="K324" t="str">
        <f t="shared" si="112"/>
        <v>PR:Music  SP:Carol20171019  $0</v>
      </c>
      <c r="L324" t="str">
        <f t="shared" si="113"/>
        <v>Music  SP:Carol20171019  $0</v>
      </c>
      <c r="M324" t="str">
        <f t="shared" si="114"/>
        <v>Music  Carol20171019  $0</v>
      </c>
      <c r="N324" t="str">
        <f t="shared" si="115"/>
        <v>Music Carol20171019 $0</v>
      </c>
      <c r="O324" t="str">
        <f t="shared" si="116"/>
        <v>Music Carol 20171019 $0</v>
      </c>
      <c r="P324">
        <f t="shared" si="117"/>
        <v>6</v>
      </c>
      <c r="Q324">
        <f t="shared" si="118"/>
        <v>12</v>
      </c>
      <c r="R324">
        <f t="shared" si="119"/>
        <v>21</v>
      </c>
      <c r="S324" t="str">
        <f t="shared" si="120"/>
        <v>Music</v>
      </c>
      <c r="T324" t="str">
        <f t="shared" si="121"/>
        <v>Carol</v>
      </c>
      <c r="U324" t="str">
        <f t="shared" si="122"/>
        <v>20171019</v>
      </c>
      <c r="V324" t="str">
        <f t="shared" si="123"/>
        <v>0</v>
      </c>
      <c r="W324" s="4">
        <f t="shared" si="124"/>
        <v>43027</v>
      </c>
      <c r="X324" s="5">
        <f t="shared" si="125"/>
        <v>0</v>
      </c>
    </row>
    <row r="325" spans="3:24" x14ac:dyDescent="0.35">
      <c r="C325" s="2">
        <f t="shared" si="105"/>
        <v>324</v>
      </c>
      <c r="D325" t="s">
        <v>323</v>
      </c>
      <c r="E325">
        <f t="shared" si="106"/>
        <v>30</v>
      </c>
      <c r="F325" t="str">
        <f t="shared" si="107"/>
        <v xml:space="preserve">//PR:Books____SP:Carol20171031  $900    </v>
      </c>
      <c r="G325">
        <f t="shared" si="108"/>
        <v>32</v>
      </c>
      <c r="H325" t="str">
        <f t="shared" si="109"/>
        <v>//PR:Books____SP:Carol20171031  $900</v>
      </c>
      <c r="I325">
        <f t="shared" si="110"/>
        <v>48</v>
      </c>
      <c r="J325" t="str">
        <f t="shared" si="111"/>
        <v>PR:Books____SP:Carol20171031  $900</v>
      </c>
      <c r="K325" t="str">
        <f t="shared" si="112"/>
        <v>PR:Books    SP:Carol20171031  $900</v>
      </c>
      <c r="L325" t="str">
        <f t="shared" si="113"/>
        <v>Books    SP:Carol20171031  $900</v>
      </c>
      <c r="M325" t="str">
        <f t="shared" si="114"/>
        <v>Books    Carol20171031  $900</v>
      </c>
      <c r="N325" t="str">
        <f t="shared" si="115"/>
        <v>Books Carol20171031 $900</v>
      </c>
      <c r="O325" t="str">
        <f t="shared" si="116"/>
        <v>Books Carol 20171031 $900</v>
      </c>
      <c r="P325">
        <f t="shared" si="117"/>
        <v>6</v>
      </c>
      <c r="Q325">
        <f t="shared" si="118"/>
        <v>12</v>
      </c>
      <c r="R325">
        <f t="shared" si="119"/>
        <v>21</v>
      </c>
      <c r="S325" t="str">
        <f t="shared" si="120"/>
        <v>Books</v>
      </c>
      <c r="T325" t="str">
        <f t="shared" si="121"/>
        <v>Carol</v>
      </c>
      <c r="U325" t="str">
        <f t="shared" si="122"/>
        <v>20171031</v>
      </c>
      <c r="V325" t="str">
        <f t="shared" si="123"/>
        <v>900</v>
      </c>
      <c r="W325" s="4">
        <f t="shared" si="124"/>
        <v>43039</v>
      </c>
      <c r="X325" s="5">
        <f t="shared" si="125"/>
        <v>900</v>
      </c>
    </row>
    <row r="326" spans="3:24" x14ac:dyDescent="0.35">
      <c r="C326" s="2">
        <f t="shared" si="105"/>
        <v>325</v>
      </c>
      <c r="D326" t="s">
        <v>324</v>
      </c>
      <c r="E326">
        <f t="shared" si="106"/>
        <v>30</v>
      </c>
      <c r="F326" t="str">
        <f t="shared" si="107"/>
        <v xml:space="preserve">//PR:Music_____SP:Alice20171028     $0  </v>
      </c>
      <c r="G326">
        <f t="shared" si="108"/>
        <v>32</v>
      </c>
      <c r="H326" t="str">
        <f t="shared" si="109"/>
        <v>//PR:Music_____SP:Alice20171028     $0</v>
      </c>
      <c r="I326">
        <f t="shared" si="110"/>
        <v>48</v>
      </c>
      <c r="J326" t="str">
        <f t="shared" si="111"/>
        <v>PR:Music_____SP:Alice20171028     $0</v>
      </c>
      <c r="K326" t="str">
        <f t="shared" si="112"/>
        <v>PR:Music     SP:Alice20171028     $0</v>
      </c>
      <c r="L326" t="str">
        <f t="shared" si="113"/>
        <v>Music     SP:Alice20171028     $0</v>
      </c>
      <c r="M326" t="str">
        <f t="shared" si="114"/>
        <v>Music     Alice20171028     $0</v>
      </c>
      <c r="N326" t="str">
        <f t="shared" si="115"/>
        <v>Music Alice20171028 $0</v>
      </c>
      <c r="O326" t="str">
        <f t="shared" si="116"/>
        <v>Music Alice 20171028 $0</v>
      </c>
      <c r="P326">
        <f t="shared" si="117"/>
        <v>6</v>
      </c>
      <c r="Q326">
        <f t="shared" si="118"/>
        <v>12</v>
      </c>
      <c r="R326">
        <f t="shared" si="119"/>
        <v>21</v>
      </c>
      <c r="S326" t="str">
        <f t="shared" si="120"/>
        <v>Music</v>
      </c>
      <c r="T326" t="str">
        <f t="shared" si="121"/>
        <v>Alice</v>
      </c>
      <c r="U326" t="str">
        <f t="shared" si="122"/>
        <v>20171028</v>
      </c>
      <c r="V326" t="str">
        <f t="shared" si="123"/>
        <v>0</v>
      </c>
      <c r="W326" s="4">
        <f t="shared" si="124"/>
        <v>43036</v>
      </c>
      <c r="X326" s="5">
        <f t="shared" si="125"/>
        <v>0</v>
      </c>
    </row>
    <row r="327" spans="3:24" x14ac:dyDescent="0.35">
      <c r="C327" s="2">
        <f t="shared" si="105"/>
        <v>326</v>
      </c>
      <c r="D327" t="s">
        <v>325</v>
      </c>
      <c r="E327">
        <f t="shared" si="106"/>
        <v>30</v>
      </c>
      <c r="F327" t="str">
        <f t="shared" si="107"/>
        <v xml:space="preserve">/PR:Books___SP:David2017107   $978    </v>
      </c>
      <c r="G327">
        <f t="shared" si="108"/>
        <v>32</v>
      </c>
      <c r="H327" t="str">
        <f t="shared" si="109"/>
        <v>/PR:Books___SP:David2017107   $978</v>
      </c>
      <c r="I327">
        <f t="shared" si="110"/>
        <v>56</v>
      </c>
      <c r="J327" t="str">
        <f t="shared" si="111"/>
        <v>PR:Books___SP:David2017107   $978</v>
      </c>
      <c r="K327" t="str">
        <f t="shared" si="112"/>
        <v>PR:Books   SP:David2017107   $978</v>
      </c>
      <c r="L327" t="str">
        <f t="shared" si="113"/>
        <v>Books   SP:David2017107   $978</v>
      </c>
      <c r="M327" t="str">
        <f t="shared" si="114"/>
        <v>Books   David2017107   $978</v>
      </c>
      <c r="N327" t="str">
        <f t="shared" si="115"/>
        <v>Books David2017107 $978</v>
      </c>
      <c r="O327" t="str">
        <f t="shared" si="116"/>
        <v>Books David 2017107 $978</v>
      </c>
      <c r="P327">
        <f t="shared" si="117"/>
        <v>6</v>
      </c>
      <c r="Q327">
        <f t="shared" si="118"/>
        <v>12</v>
      </c>
      <c r="R327">
        <f t="shared" si="119"/>
        <v>20</v>
      </c>
      <c r="S327" t="str">
        <f t="shared" si="120"/>
        <v>Books</v>
      </c>
      <c r="T327" t="str">
        <f t="shared" si="121"/>
        <v>David</v>
      </c>
      <c r="U327" t="str">
        <f t="shared" si="122"/>
        <v>2017107</v>
      </c>
      <c r="V327" t="str">
        <f t="shared" si="123"/>
        <v>978</v>
      </c>
      <c r="W327" s="4">
        <f t="shared" si="124"/>
        <v>43015</v>
      </c>
      <c r="X327" s="5">
        <f t="shared" si="125"/>
        <v>978</v>
      </c>
    </row>
    <row r="328" spans="3:24" x14ac:dyDescent="0.35">
      <c r="C328" s="2">
        <f t="shared" si="105"/>
        <v>327</v>
      </c>
      <c r="D328" t="s">
        <v>326</v>
      </c>
      <c r="E328">
        <f t="shared" si="106"/>
        <v>30</v>
      </c>
      <c r="F328" t="str">
        <f t="shared" si="107"/>
        <v xml:space="preserve">/PR:Clothing__SP:Alice2017106    $680 </v>
      </c>
      <c r="G328">
        <f t="shared" si="108"/>
        <v>32</v>
      </c>
      <c r="H328" t="str">
        <f t="shared" si="109"/>
        <v>/PR:Clothing__SP:Alice2017106    $680</v>
      </c>
      <c r="I328">
        <f t="shared" si="110"/>
        <v>48</v>
      </c>
      <c r="J328" t="str">
        <f t="shared" si="111"/>
        <v>PR:Clothing__SP:Alice2017106    $680</v>
      </c>
      <c r="K328" t="str">
        <f t="shared" si="112"/>
        <v>PR:Clothing  SP:Alice2017106    $680</v>
      </c>
      <c r="L328" t="str">
        <f t="shared" si="113"/>
        <v>Clothing  SP:Alice2017106    $680</v>
      </c>
      <c r="M328" t="str">
        <f t="shared" si="114"/>
        <v>Clothing  Alice2017106    $680</v>
      </c>
      <c r="N328" t="str">
        <f t="shared" si="115"/>
        <v>Clothing Alice2017106 $680</v>
      </c>
      <c r="O328" t="str">
        <f t="shared" si="116"/>
        <v>Clothing Alice 2017106 $680</v>
      </c>
      <c r="P328">
        <f t="shared" si="117"/>
        <v>9</v>
      </c>
      <c r="Q328">
        <f t="shared" si="118"/>
        <v>15</v>
      </c>
      <c r="R328">
        <f t="shared" si="119"/>
        <v>23</v>
      </c>
      <c r="S328" t="str">
        <f t="shared" si="120"/>
        <v>Clothing</v>
      </c>
      <c r="T328" t="str">
        <f t="shared" si="121"/>
        <v>Alice</v>
      </c>
      <c r="U328" t="str">
        <f t="shared" si="122"/>
        <v>2017106</v>
      </c>
      <c r="V328" t="str">
        <f t="shared" si="123"/>
        <v>680</v>
      </c>
      <c r="W328" s="4">
        <f t="shared" si="124"/>
        <v>43014</v>
      </c>
      <c r="X328" s="5">
        <f t="shared" si="125"/>
        <v>680</v>
      </c>
    </row>
    <row r="329" spans="3:24" x14ac:dyDescent="0.35">
      <c r="C329" s="2">
        <f t="shared" si="105"/>
        <v>328</v>
      </c>
      <c r="D329" t="s">
        <v>327</v>
      </c>
      <c r="E329">
        <f t="shared" si="106"/>
        <v>31</v>
      </c>
      <c r="F329" t="str">
        <f t="shared" si="107"/>
        <v xml:space="preserve">///PR:Games___SP:Barney20171017     $1489    </v>
      </c>
      <c r="G329">
        <f t="shared" si="108"/>
        <v>32</v>
      </c>
      <c r="H329" t="str">
        <f t="shared" si="109"/>
        <v>///PR:Games___SP:Barney20171017     $1489</v>
      </c>
      <c r="I329">
        <f t="shared" si="110"/>
        <v>57</v>
      </c>
      <c r="J329" t="str">
        <f t="shared" si="111"/>
        <v>PR:Games___SP:Barney20171017     $1489</v>
      </c>
      <c r="K329" t="str">
        <f t="shared" si="112"/>
        <v>PR:Games   SP:Barney20171017     $1489</v>
      </c>
      <c r="L329" t="str">
        <f t="shared" si="113"/>
        <v>Games   SP:Barney20171017     $1489</v>
      </c>
      <c r="M329" t="str">
        <f t="shared" si="114"/>
        <v>Games   Barney20171017     $1489</v>
      </c>
      <c r="N329" t="str">
        <f t="shared" si="115"/>
        <v>Games Barney20171017 $1489</v>
      </c>
      <c r="O329" t="str">
        <f t="shared" si="116"/>
        <v>Games Barney 20171017 $1489</v>
      </c>
      <c r="P329">
        <f t="shared" si="117"/>
        <v>6</v>
      </c>
      <c r="Q329">
        <f t="shared" si="118"/>
        <v>13</v>
      </c>
      <c r="R329">
        <f t="shared" si="119"/>
        <v>22</v>
      </c>
      <c r="S329" t="str">
        <f t="shared" si="120"/>
        <v>Games</v>
      </c>
      <c r="T329" t="str">
        <f t="shared" si="121"/>
        <v>Barney</v>
      </c>
      <c r="U329" t="str">
        <f t="shared" si="122"/>
        <v>20171017</v>
      </c>
      <c r="V329" t="str">
        <f t="shared" si="123"/>
        <v>1489</v>
      </c>
      <c r="W329" s="4">
        <f t="shared" si="124"/>
        <v>43025</v>
      </c>
      <c r="X329" s="5">
        <f t="shared" si="125"/>
        <v>1489</v>
      </c>
    </row>
    <row r="330" spans="3:24" x14ac:dyDescent="0.35">
      <c r="C330" s="2">
        <f t="shared" si="105"/>
        <v>329</v>
      </c>
      <c r="D330" t="s">
        <v>328</v>
      </c>
      <c r="E330">
        <f t="shared" si="106"/>
        <v>29</v>
      </c>
      <c r="F330" t="str">
        <f t="shared" si="107"/>
        <v xml:space="preserve">/////PR:Games____SP:Barney20171030     $0  </v>
      </c>
      <c r="G330">
        <f t="shared" si="108"/>
        <v>32</v>
      </c>
      <c r="H330" t="str">
        <f t="shared" si="109"/>
        <v>/////PR:Games____SP:Barney20171030     $0</v>
      </c>
      <c r="I330">
        <f t="shared" si="110"/>
        <v>48</v>
      </c>
      <c r="J330" t="str">
        <f t="shared" si="111"/>
        <v>PR:Games____SP:Barney20171030     $0</v>
      </c>
      <c r="K330" t="str">
        <f t="shared" si="112"/>
        <v>PR:Games    SP:Barney20171030     $0</v>
      </c>
      <c r="L330" t="str">
        <f t="shared" si="113"/>
        <v>Games    SP:Barney20171030     $0</v>
      </c>
      <c r="M330" t="str">
        <f t="shared" si="114"/>
        <v>Games    Barney20171030     $0</v>
      </c>
      <c r="N330" t="str">
        <f t="shared" si="115"/>
        <v>Games Barney20171030 $0</v>
      </c>
      <c r="O330" t="str">
        <f t="shared" si="116"/>
        <v>Games Barney 20171030 $0</v>
      </c>
      <c r="P330">
        <f t="shared" si="117"/>
        <v>6</v>
      </c>
      <c r="Q330">
        <f t="shared" si="118"/>
        <v>13</v>
      </c>
      <c r="R330">
        <f t="shared" si="119"/>
        <v>22</v>
      </c>
      <c r="S330" t="str">
        <f t="shared" si="120"/>
        <v>Games</v>
      </c>
      <c r="T330" t="str">
        <f t="shared" si="121"/>
        <v>Barney</v>
      </c>
      <c r="U330" t="str">
        <f t="shared" si="122"/>
        <v>20171030</v>
      </c>
      <c r="V330" t="str">
        <f t="shared" si="123"/>
        <v>0</v>
      </c>
      <c r="W330" s="4">
        <f t="shared" si="124"/>
        <v>43038</v>
      </c>
      <c r="X330" s="5">
        <f t="shared" si="125"/>
        <v>0</v>
      </c>
    </row>
    <row r="331" spans="3:24" x14ac:dyDescent="0.35">
      <c r="C331" s="2">
        <f t="shared" si="105"/>
        <v>330</v>
      </c>
      <c r="D331" t="s">
        <v>329</v>
      </c>
      <c r="E331">
        <f t="shared" si="106"/>
        <v>30</v>
      </c>
      <c r="F331" t="str">
        <f t="shared" si="107"/>
        <v xml:space="preserve">/PR:Books_SP:Alice20171023 $0    </v>
      </c>
      <c r="G331">
        <f t="shared" si="108"/>
        <v>32</v>
      </c>
      <c r="H331" t="str">
        <f t="shared" si="109"/>
        <v>/PR:Books_SP:Alice20171023 $0</v>
      </c>
      <c r="I331">
        <f t="shared" si="110"/>
        <v>48</v>
      </c>
      <c r="J331" t="str">
        <f t="shared" si="111"/>
        <v>PR:Books_SP:Alice20171023 $0</v>
      </c>
      <c r="K331" t="str">
        <f t="shared" si="112"/>
        <v>PR:Books SP:Alice20171023 $0</v>
      </c>
      <c r="L331" t="str">
        <f t="shared" si="113"/>
        <v>Books SP:Alice20171023 $0</v>
      </c>
      <c r="M331" t="str">
        <f t="shared" si="114"/>
        <v>Books Alice20171023 $0</v>
      </c>
      <c r="N331" t="str">
        <f t="shared" si="115"/>
        <v>Books Alice20171023 $0</v>
      </c>
      <c r="O331" t="str">
        <f t="shared" si="116"/>
        <v>Books Alice 20171023 $0</v>
      </c>
      <c r="P331">
        <f t="shared" si="117"/>
        <v>6</v>
      </c>
      <c r="Q331">
        <f t="shared" si="118"/>
        <v>12</v>
      </c>
      <c r="R331">
        <f t="shared" si="119"/>
        <v>21</v>
      </c>
      <c r="S331" t="str">
        <f t="shared" si="120"/>
        <v>Books</v>
      </c>
      <c r="T331" t="str">
        <f t="shared" si="121"/>
        <v>Alice</v>
      </c>
      <c r="U331" t="str">
        <f t="shared" si="122"/>
        <v>20171023</v>
      </c>
      <c r="V331" t="str">
        <f t="shared" si="123"/>
        <v>0</v>
      </c>
      <c r="W331" s="4">
        <f t="shared" si="124"/>
        <v>43031</v>
      </c>
      <c r="X331" s="5">
        <f t="shared" si="125"/>
        <v>0</v>
      </c>
    </row>
    <row r="332" spans="3:24" x14ac:dyDescent="0.35">
      <c r="C332" s="2">
        <f t="shared" si="105"/>
        <v>331</v>
      </c>
      <c r="D332" t="s">
        <v>330</v>
      </c>
      <c r="E332">
        <f t="shared" si="106"/>
        <v>30</v>
      </c>
      <c r="F332" t="str">
        <f t="shared" si="107"/>
        <v xml:space="preserve">////PR:Clothing__SP:David2017105 $0   </v>
      </c>
      <c r="G332">
        <f t="shared" si="108"/>
        <v>32</v>
      </c>
      <c r="H332" t="str">
        <f t="shared" si="109"/>
        <v>////PR:Clothing__SP:David2017105 $0</v>
      </c>
      <c r="I332">
        <f t="shared" si="110"/>
        <v>48</v>
      </c>
      <c r="J332" t="str">
        <f t="shared" si="111"/>
        <v>PR:Clothing__SP:David2017105 $0</v>
      </c>
      <c r="K332" t="str">
        <f t="shared" si="112"/>
        <v>PR:Clothing  SP:David2017105 $0</v>
      </c>
      <c r="L332" t="str">
        <f t="shared" si="113"/>
        <v>Clothing  SP:David2017105 $0</v>
      </c>
      <c r="M332" t="str">
        <f t="shared" si="114"/>
        <v>Clothing  David2017105 $0</v>
      </c>
      <c r="N332" t="str">
        <f t="shared" si="115"/>
        <v>Clothing David2017105 $0</v>
      </c>
      <c r="O332" t="str">
        <f t="shared" si="116"/>
        <v>Clothing David 2017105 $0</v>
      </c>
      <c r="P332">
        <f t="shared" si="117"/>
        <v>9</v>
      </c>
      <c r="Q332">
        <f t="shared" si="118"/>
        <v>15</v>
      </c>
      <c r="R332">
        <f t="shared" si="119"/>
        <v>23</v>
      </c>
      <c r="S332" t="str">
        <f t="shared" si="120"/>
        <v>Clothing</v>
      </c>
      <c r="T332" t="str">
        <f t="shared" si="121"/>
        <v>David</v>
      </c>
      <c r="U332" t="str">
        <f t="shared" si="122"/>
        <v>2017105</v>
      </c>
      <c r="V332" t="str">
        <f t="shared" si="123"/>
        <v>0</v>
      </c>
      <c r="W332" s="4">
        <f t="shared" si="124"/>
        <v>43013</v>
      </c>
      <c r="X332" s="5">
        <f t="shared" si="125"/>
        <v>0</v>
      </c>
    </row>
    <row r="333" spans="3:24" x14ac:dyDescent="0.35">
      <c r="C333" s="2">
        <f t="shared" si="105"/>
        <v>332</v>
      </c>
      <c r="D333" t="s">
        <v>331</v>
      </c>
      <c r="E333">
        <f t="shared" si="106"/>
        <v>31</v>
      </c>
      <c r="F333" t="str">
        <f t="shared" si="107"/>
        <v xml:space="preserve">///PR:Books_SP:Alice2017105   $508 </v>
      </c>
      <c r="G333">
        <f t="shared" si="108"/>
        <v>32</v>
      </c>
      <c r="H333" t="str">
        <f t="shared" si="109"/>
        <v>///PR:Books_SP:Alice2017105   $508</v>
      </c>
      <c r="I333">
        <f t="shared" si="110"/>
        <v>56</v>
      </c>
      <c r="J333" t="str">
        <f t="shared" si="111"/>
        <v>PR:Books_SP:Alice2017105   $508</v>
      </c>
      <c r="K333" t="str">
        <f t="shared" si="112"/>
        <v>PR:Books SP:Alice2017105   $508</v>
      </c>
      <c r="L333" t="str">
        <f t="shared" si="113"/>
        <v>Books SP:Alice2017105   $508</v>
      </c>
      <c r="M333" t="str">
        <f t="shared" si="114"/>
        <v>Books Alice2017105   $508</v>
      </c>
      <c r="N333" t="str">
        <f t="shared" si="115"/>
        <v>Books Alice2017105 $508</v>
      </c>
      <c r="O333" t="str">
        <f t="shared" si="116"/>
        <v>Books Alice 2017105 $508</v>
      </c>
      <c r="P333">
        <f t="shared" si="117"/>
        <v>6</v>
      </c>
      <c r="Q333">
        <f t="shared" si="118"/>
        <v>12</v>
      </c>
      <c r="R333">
        <f t="shared" si="119"/>
        <v>20</v>
      </c>
      <c r="S333" t="str">
        <f t="shared" si="120"/>
        <v>Books</v>
      </c>
      <c r="T333" t="str">
        <f t="shared" si="121"/>
        <v>Alice</v>
      </c>
      <c r="U333" t="str">
        <f t="shared" si="122"/>
        <v>2017105</v>
      </c>
      <c r="V333" t="str">
        <f t="shared" si="123"/>
        <v>508</v>
      </c>
      <c r="W333" s="4">
        <f t="shared" si="124"/>
        <v>43013</v>
      </c>
      <c r="X333" s="5">
        <f t="shared" si="125"/>
        <v>508</v>
      </c>
    </row>
    <row r="334" spans="3:24" x14ac:dyDescent="0.35">
      <c r="C334" s="2">
        <f t="shared" si="105"/>
        <v>333</v>
      </c>
      <c r="D334" t="s">
        <v>332</v>
      </c>
      <c r="E334">
        <f t="shared" si="106"/>
        <v>31</v>
      </c>
      <c r="F334" t="str">
        <f t="shared" si="107"/>
        <v xml:space="preserve">/////PR:Clothing_____SP:Barney20171026  $1793   </v>
      </c>
      <c r="G334">
        <f t="shared" si="108"/>
        <v>32</v>
      </c>
      <c r="H334" t="str">
        <f t="shared" si="109"/>
        <v>/////PR:Clothing_____SP:Barney20171026  $1793</v>
      </c>
      <c r="I334">
        <f t="shared" si="110"/>
        <v>51</v>
      </c>
      <c r="J334" t="str">
        <f t="shared" si="111"/>
        <v>PR:Clothing_____SP:Barney20171026  $1793</v>
      </c>
      <c r="K334" t="str">
        <f t="shared" si="112"/>
        <v>PR:Clothing     SP:Barney20171026  $1793</v>
      </c>
      <c r="L334" t="str">
        <f t="shared" si="113"/>
        <v>Clothing     SP:Barney20171026  $1793</v>
      </c>
      <c r="M334" t="str">
        <f t="shared" si="114"/>
        <v>Clothing     Barney20171026  $1793</v>
      </c>
      <c r="N334" t="str">
        <f t="shared" si="115"/>
        <v>Clothing Barney20171026 $1793</v>
      </c>
      <c r="O334" t="str">
        <f t="shared" si="116"/>
        <v>Clothing Barney 20171026 $1793</v>
      </c>
      <c r="P334">
        <f t="shared" si="117"/>
        <v>9</v>
      </c>
      <c r="Q334">
        <f t="shared" si="118"/>
        <v>16</v>
      </c>
      <c r="R334">
        <f t="shared" si="119"/>
        <v>25</v>
      </c>
      <c r="S334" t="str">
        <f t="shared" si="120"/>
        <v>Clothing</v>
      </c>
      <c r="T334" t="str">
        <f t="shared" si="121"/>
        <v>Barney</v>
      </c>
      <c r="U334" t="str">
        <f t="shared" si="122"/>
        <v>20171026</v>
      </c>
      <c r="V334" t="str">
        <f t="shared" si="123"/>
        <v>1793</v>
      </c>
      <c r="W334" s="4">
        <f t="shared" si="124"/>
        <v>43034</v>
      </c>
      <c r="X334" s="5">
        <f t="shared" si="125"/>
        <v>1793</v>
      </c>
    </row>
    <row r="335" spans="3:24" x14ac:dyDescent="0.35">
      <c r="C335" s="2">
        <f t="shared" si="105"/>
        <v>334</v>
      </c>
      <c r="D335" t="s">
        <v>333</v>
      </c>
      <c r="E335">
        <f t="shared" si="106"/>
        <v>29</v>
      </c>
      <c r="F335" t="str">
        <f t="shared" si="107"/>
        <v xml:space="preserve">/PR:Books_____SP:Barney2017107  $765    </v>
      </c>
      <c r="G335">
        <f t="shared" si="108"/>
        <v>32</v>
      </c>
      <c r="H335" t="str">
        <f t="shared" si="109"/>
        <v>/PR:Books_____SP:Barney2017107  $765</v>
      </c>
      <c r="I335">
        <f t="shared" si="110"/>
        <v>53</v>
      </c>
      <c r="J335" t="str">
        <f t="shared" si="111"/>
        <v>PR:Books_____SP:Barney2017107  $765</v>
      </c>
      <c r="K335" t="str">
        <f t="shared" si="112"/>
        <v>PR:Books     SP:Barney2017107  $765</v>
      </c>
      <c r="L335" t="str">
        <f t="shared" si="113"/>
        <v>Books     SP:Barney2017107  $765</v>
      </c>
      <c r="M335" t="str">
        <f t="shared" si="114"/>
        <v>Books     Barney2017107  $765</v>
      </c>
      <c r="N335" t="str">
        <f t="shared" si="115"/>
        <v>Books Barney2017107 $765</v>
      </c>
      <c r="O335" t="str">
        <f t="shared" si="116"/>
        <v>Books Barney 2017107 $765</v>
      </c>
      <c r="P335">
        <f t="shared" si="117"/>
        <v>6</v>
      </c>
      <c r="Q335">
        <f t="shared" si="118"/>
        <v>13</v>
      </c>
      <c r="R335">
        <f t="shared" si="119"/>
        <v>21</v>
      </c>
      <c r="S335" t="str">
        <f t="shared" si="120"/>
        <v>Books</v>
      </c>
      <c r="T335" t="str">
        <f t="shared" si="121"/>
        <v>Barney</v>
      </c>
      <c r="U335" t="str">
        <f t="shared" si="122"/>
        <v>2017107</v>
      </c>
      <c r="V335" t="str">
        <f t="shared" si="123"/>
        <v>765</v>
      </c>
      <c r="W335" s="4">
        <f t="shared" si="124"/>
        <v>43015</v>
      </c>
      <c r="X335" s="5">
        <f t="shared" si="125"/>
        <v>765</v>
      </c>
    </row>
    <row r="336" spans="3:24" x14ac:dyDescent="0.35">
      <c r="C336" s="2">
        <f t="shared" si="105"/>
        <v>335</v>
      </c>
      <c r="D336" t="s">
        <v>334</v>
      </c>
      <c r="E336">
        <f t="shared" si="106"/>
        <v>31</v>
      </c>
      <c r="F336" t="str">
        <f t="shared" si="107"/>
        <v xml:space="preserve">//PR:Clothing_SP:Alice20171023  $1099    </v>
      </c>
      <c r="G336">
        <f t="shared" si="108"/>
        <v>32</v>
      </c>
      <c r="H336" t="str">
        <f t="shared" si="109"/>
        <v>//PR:Clothing_SP:Alice20171023  $1099</v>
      </c>
      <c r="I336">
        <f t="shared" si="110"/>
        <v>57</v>
      </c>
      <c r="J336" t="str">
        <f t="shared" si="111"/>
        <v>PR:Clothing_SP:Alice20171023  $1099</v>
      </c>
      <c r="K336" t="str">
        <f t="shared" si="112"/>
        <v>PR:Clothing SP:Alice20171023  $1099</v>
      </c>
      <c r="L336" t="str">
        <f t="shared" si="113"/>
        <v>Clothing SP:Alice20171023  $1099</v>
      </c>
      <c r="M336" t="str">
        <f t="shared" si="114"/>
        <v>Clothing Alice20171023  $1099</v>
      </c>
      <c r="N336" t="str">
        <f t="shared" si="115"/>
        <v>Clothing Alice20171023 $1099</v>
      </c>
      <c r="O336" t="str">
        <f t="shared" si="116"/>
        <v>Clothing Alice 20171023 $1099</v>
      </c>
      <c r="P336">
        <f t="shared" si="117"/>
        <v>9</v>
      </c>
      <c r="Q336">
        <f t="shared" si="118"/>
        <v>15</v>
      </c>
      <c r="R336">
        <f t="shared" si="119"/>
        <v>24</v>
      </c>
      <c r="S336" t="str">
        <f t="shared" si="120"/>
        <v>Clothing</v>
      </c>
      <c r="T336" t="str">
        <f t="shared" si="121"/>
        <v>Alice</v>
      </c>
      <c r="U336" t="str">
        <f t="shared" si="122"/>
        <v>20171023</v>
      </c>
      <c r="V336" t="str">
        <f t="shared" si="123"/>
        <v>1099</v>
      </c>
      <c r="W336" s="4">
        <f t="shared" si="124"/>
        <v>43031</v>
      </c>
      <c r="X336" s="5">
        <f t="shared" si="125"/>
        <v>1099</v>
      </c>
    </row>
    <row r="337" spans="3:24" x14ac:dyDescent="0.35">
      <c r="C337" s="2">
        <f t="shared" si="105"/>
        <v>336</v>
      </c>
      <c r="D337" t="s">
        <v>335</v>
      </c>
      <c r="E337">
        <f t="shared" si="106"/>
        <v>30</v>
      </c>
      <c r="F337" t="str">
        <f t="shared" si="107"/>
        <v xml:space="preserve">////PR:Clothing_____SP:David2017101  $610     </v>
      </c>
      <c r="G337">
        <f t="shared" si="108"/>
        <v>32</v>
      </c>
      <c r="H337" t="str">
        <f t="shared" si="109"/>
        <v>////PR:Clothing_____SP:David2017101  $610</v>
      </c>
      <c r="I337">
        <f t="shared" si="110"/>
        <v>48</v>
      </c>
      <c r="J337" t="str">
        <f t="shared" si="111"/>
        <v>PR:Clothing_____SP:David2017101  $610</v>
      </c>
      <c r="K337" t="str">
        <f t="shared" si="112"/>
        <v>PR:Clothing     SP:David2017101  $610</v>
      </c>
      <c r="L337" t="str">
        <f t="shared" si="113"/>
        <v>Clothing     SP:David2017101  $610</v>
      </c>
      <c r="M337" t="str">
        <f t="shared" si="114"/>
        <v>Clothing     David2017101  $610</v>
      </c>
      <c r="N337" t="str">
        <f t="shared" si="115"/>
        <v>Clothing David2017101 $610</v>
      </c>
      <c r="O337" t="str">
        <f t="shared" si="116"/>
        <v>Clothing David 2017101 $610</v>
      </c>
      <c r="P337">
        <f t="shared" si="117"/>
        <v>9</v>
      </c>
      <c r="Q337">
        <f t="shared" si="118"/>
        <v>15</v>
      </c>
      <c r="R337">
        <f t="shared" si="119"/>
        <v>23</v>
      </c>
      <c r="S337" t="str">
        <f t="shared" si="120"/>
        <v>Clothing</v>
      </c>
      <c r="T337" t="str">
        <f t="shared" si="121"/>
        <v>David</v>
      </c>
      <c r="U337" t="str">
        <f t="shared" si="122"/>
        <v>2017101</v>
      </c>
      <c r="V337" t="str">
        <f t="shared" si="123"/>
        <v>610</v>
      </c>
      <c r="W337" s="4">
        <f t="shared" si="124"/>
        <v>43009</v>
      </c>
      <c r="X337" s="5">
        <f t="shared" si="125"/>
        <v>610</v>
      </c>
    </row>
    <row r="338" spans="3:24" x14ac:dyDescent="0.35">
      <c r="C338" s="2">
        <f t="shared" si="105"/>
        <v>337</v>
      </c>
      <c r="D338" t="s">
        <v>336</v>
      </c>
      <c r="E338">
        <f t="shared" si="106"/>
        <v>30</v>
      </c>
      <c r="F338" t="str">
        <f t="shared" si="107"/>
        <v xml:space="preserve">//PR:Music__SP:Barney20171024  $1157     </v>
      </c>
      <c r="G338">
        <f t="shared" si="108"/>
        <v>32</v>
      </c>
      <c r="H338" t="str">
        <f t="shared" si="109"/>
        <v>//PR:Music__SP:Barney20171024  $1157</v>
      </c>
      <c r="I338">
        <f t="shared" si="110"/>
        <v>55</v>
      </c>
      <c r="J338" t="str">
        <f t="shared" si="111"/>
        <v>PR:Music__SP:Barney20171024  $1157</v>
      </c>
      <c r="K338" t="str">
        <f t="shared" si="112"/>
        <v>PR:Music  SP:Barney20171024  $1157</v>
      </c>
      <c r="L338" t="str">
        <f t="shared" si="113"/>
        <v>Music  SP:Barney20171024  $1157</v>
      </c>
      <c r="M338" t="str">
        <f t="shared" si="114"/>
        <v>Music  Barney20171024  $1157</v>
      </c>
      <c r="N338" t="str">
        <f t="shared" si="115"/>
        <v>Music Barney20171024 $1157</v>
      </c>
      <c r="O338" t="str">
        <f t="shared" si="116"/>
        <v>Music Barney 20171024 $1157</v>
      </c>
      <c r="P338">
        <f t="shared" si="117"/>
        <v>6</v>
      </c>
      <c r="Q338">
        <f t="shared" si="118"/>
        <v>13</v>
      </c>
      <c r="R338">
        <f t="shared" si="119"/>
        <v>22</v>
      </c>
      <c r="S338" t="str">
        <f t="shared" si="120"/>
        <v>Music</v>
      </c>
      <c r="T338" t="str">
        <f t="shared" si="121"/>
        <v>Barney</v>
      </c>
      <c r="U338" t="str">
        <f t="shared" si="122"/>
        <v>20171024</v>
      </c>
      <c r="V338" t="str">
        <f t="shared" si="123"/>
        <v>1157</v>
      </c>
      <c r="W338" s="4">
        <f t="shared" si="124"/>
        <v>43032</v>
      </c>
      <c r="X338" s="5">
        <f t="shared" si="125"/>
        <v>1157</v>
      </c>
    </row>
    <row r="339" spans="3:24" x14ac:dyDescent="0.35">
      <c r="C339" s="2">
        <f t="shared" si="105"/>
        <v>338</v>
      </c>
      <c r="D339" t="s">
        <v>337</v>
      </c>
      <c r="E339">
        <f t="shared" si="106"/>
        <v>28</v>
      </c>
      <c r="F339" t="str">
        <f t="shared" si="107"/>
        <v xml:space="preserve">///PR:Clothing_____SP:Barney20171022 $845  </v>
      </c>
      <c r="G339">
        <f t="shared" si="108"/>
        <v>32</v>
      </c>
      <c r="H339" t="str">
        <f t="shared" si="109"/>
        <v>///PR:Clothing_____SP:Barney20171022 $845</v>
      </c>
      <c r="I339">
        <f t="shared" si="110"/>
        <v>53</v>
      </c>
      <c r="J339" t="str">
        <f t="shared" si="111"/>
        <v>PR:Clothing_____SP:Barney20171022 $845</v>
      </c>
      <c r="K339" t="str">
        <f t="shared" si="112"/>
        <v>PR:Clothing     SP:Barney20171022 $845</v>
      </c>
      <c r="L339" t="str">
        <f t="shared" si="113"/>
        <v>Clothing     SP:Barney20171022 $845</v>
      </c>
      <c r="M339" t="str">
        <f t="shared" si="114"/>
        <v>Clothing     Barney20171022 $845</v>
      </c>
      <c r="N339" t="str">
        <f t="shared" si="115"/>
        <v>Clothing Barney20171022 $845</v>
      </c>
      <c r="O339" t="str">
        <f t="shared" si="116"/>
        <v>Clothing Barney 20171022 $845</v>
      </c>
      <c r="P339">
        <f t="shared" si="117"/>
        <v>9</v>
      </c>
      <c r="Q339">
        <f t="shared" si="118"/>
        <v>16</v>
      </c>
      <c r="R339">
        <f t="shared" si="119"/>
        <v>25</v>
      </c>
      <c r="S339" t="str">
        <f t="shared" si="120"/>
        <v>Clothing</v>
      </c>
      <c r="T339" t="str">
        <f t="shared" si="121"/>
        <v>Barney</v>
      </c>
      <c r="U339" t="str">
        <f t="shared" si="122"/>
        <v>20171022</v>
      </c>
      <c r="V339" t="str">
        <f t="shared" si="123"/>
        <v>845</v>
      </c>
      <c r="W339" s="4">
        <f t="shared" si="124"/>
        <v>43030</v>
      </c>
      <c r="X339" s="5">
        <f t="shared" si="125"/>
        <v>845</v>
      </c>
    </row>
    <row r="340" spans="3:24" x14ac:dyDescent="0.35">
      <c r="C340" s="2">
        <f t="shared" si="105"/>
        <v>339</v>
      </c>
      <c r="D340" t="s">
        <v>338</v>
      </c>
      <c r="E340">
        <f t="shared" si="106"/>
        <v>30</v>
      </c>
      <c r="F340" t="str">
        <f t="shared" si="107"/>
        <v xml:space="preserve">/////PR:Games_SP:Barney20171031     $1381   </v>
      </c>
      <c r="G340">
        <f t="shared" si="108"/>
        <v>32</v>
      </c>
      <c r="H340" t="str">
        <f t="shared" si="109"/>
        <v>/////PR:Games_SP:Barney20171031     $1381</v>
      </c>
      <c r="I340">
        <f t="shared" si="110"/>
        <v>49</v>
      </c>
      <c r="J340" t="str">
        <f t="shared" si="111"/>
        <v>PR:Games_SP:Barney20171031     $1381</v>
      </c>
      <c r="K340" t="str">
        <f t="shared" si="112"/>
        <v>PR:Games SP:Barney20171031     $1381</v>
      </c>
      <c r="L340" t="str">
        <f t="shared" si="113"/>
        <v>Games SP:Barney20171031     $1381</v>
      </c>
      <c r="M340" t="str">
        <f t="shared" si="114"/>
        <v>Games Barney20171031     $1381</v>
      </c>
      <c r="N340" t="str">
        <f t="shared" si="115"/>
        <v>Games Barney20171031 $1381</v>
      </c>
      <c r="O340" t="str">
        <f t="shared" si="116"/>
        <v>Games Barney 20171031 $1381</v>
      </c>
      <c r="P340">
        <f t="shared" si="117"/>
        <v>6</v>
      </c>
      <c r="Q340">
        <f t="shared" si="118"/>
        <v>13</v>
      </c>
      <c r="R340">
        <f t="shared" si="119"/>
        <v>22</v>
      </c>
      <c r="S340" t="str">
        <f t="shared" si="120"/>
        <v>Games</v>
      </c>
      <c r="T340" t="str">
        <f t="shared" si="121"/>
        <v>Barney</v>
      </c>
      <c r="U340" t="str">
        <f t="shared" si="122"/>
        <v>20171031</v>
      </c>
      <c r="V340" t="str">
        <f t="shared" si="123"/>
        <v>1381</v>
      </c>
      <c r="W340" s="4">
        <f t="shared" si="124"/>
        <v>43039</v>
      </c>
      <c r="X340" s="5">
        <f t="shared" si="125"/>
        <v>1381</v>
      </c>
    </row>
    <row r="341" spans="3:24" x14ac:dyDescent="0.35">
      <c r="C341" s="2">
        <f t="shared" si="105"/>
        <v>340</v>
      </c>
      <c r="D341" t="s">
        <v>339</v>
      </c>
      <c r="E341">
        <f t="shared" si="106"/>
        <v>30</v>
      </c>
      <c r="F341" t="str">
        <f t="shared" si="107"/>
        <v xml:space="preserve">////PR:Games_SP:David2017109 $1960   </v>
      </c>
      <c r="G341">
        <f t="shared" si="108"/>
        <v>32</v>
      </c>
      <c r="H341" t="str">
        <f t="shared" si="109"/>
        <v>////PR:Games_SP:David2017109 $1960</v>
      </c>
      <c r="I341">
        <f t="shared" si="110"/>
        <v>48</v>
      </c>
      <c r="J341" t="str">
        <f t="shared" si="111"/>
        <v>PR:Games_SP:David2017109 $1960</v>
      </c>
      <c r="K341" t="str">
        <f t="shared" si="112"/>
        <v>PR:Games SP:David2017109 $1960</v>
      </c>
      <c r="L341" t="str">
        <f t="shared" si="113"/>
        <v>Games SP:David2017109 $1960</v>
      </c>
      <c r="M341" t="str">
        <f t="shared" si="114"/>
        <v>Games David2017109 $1960</v>
      </c>
      <c r="N341" t="str">
        <f t="shared" si="115"/>
        <v>Games David2017109 $1960</v>
      </c>
      <c r="O341" t="str">
        <f t="shared" si="116"/>
        <v>Games David 2017109 $1960</v>
      </c>
      <c r="P341">
        <f t="shared" si="117"/>
        <v>6</v>
      </c>
      <c r="Q341">
        <f t="shared" si="118"/>
        <v>12</v>
      </c>
      <c r="R341">
        <f t="shared" si="119"/>
        <v>20</v>
      </c>
      <c r="S341" t="str">
        <f t="shared" si="120"/>
        <v>Games</v>
      </c>
      <c r="T341" t="str">
        <f t="shared" si="121"/>
        <v>David</v>
      </c>
      <c r="U341" t="str">
        <f t="shared" si="122"/>
        <v>2017109</v>
      </c>
      <c r="V341" t="str">
        <f t="shared" si="123"/>
        <v>1960</v>
      </c>
      <c r="W341" s="4">
        <f t="shared" si="124"/>
        <v>43017</v>
      </c>
      <c r="X341" s="5">
        <f t="shared" si="125"/>
        <v>1960</v>
      </c>
    </row>
    <row r="342" spans="3:24" x14ac:dyDescent="0.35">
      <c r="C342" s="2">
        <f t="shared" si="105"/>
        <v>341</v>
      </c>
      <c r="D342" t="s">
        <v>340</v>
      </c>
      <c r="E342">
        <f t="shared" si="106"/>
        <v>31</v>
      </c>
      <c r="F342" t="str">
        <f t="shared" si="107"/>
        <v xml:space="preserve">/////PR:Games_____SP:Barney2017103  $1957   </v>
      </c>
      <c r="G342">
        <f t="shared" si="108"/>
        <v>32</v>
      </c>
      <c r="H342" t="str">
        <f t="shared" si="109"/>
        <v>/////PR:Games_____SP:Barney2017103  $1957</v>
      </c>
      <c r="I342">
        <f t="shared" si="110"/>
        <v>55</v>
      </c>
      <c r="J342" t="str">
        <f t="shared" si="111"/>
        <v>PR:Games_____SP:Barney2017103  $1957</v>
      </c>
      <c r="K342" t="str">
        <f t="shared" si="112"/>
        <v>PR:Games     SP:Barney2017103  $1957</v>
      </c>
      <c r="L342" t="str">
        <f t="shared" si="113"/>
        <v>Games     SP:Barney2017103  $1957</v>
      </c>
      <c r="M342" t="str">
        <f t="shared" si="114"/>
        <v>Games     Barney2017103  $1957</v>
      </c>
      <c r="N342" t="str">
        <f t="shared" si="115"/>
        <v>Games Barney2017103 $1957</v>
      </c>
      <c r="O342" t="str">
        <f t="shared" si="116"/>
        <v>Games Barney 2017103 $1957</v>
      </c>
      <c r="P342">
        <f t="shared" si="117"/>
        <v>6</v>
      </c>
      <c r="Q342">
        <f t="shared" si="118"/>
        <v>13</v>
      </c>
      <c r="R342">
        <f t="shared" si="119"/>
        <v>21</v>
      </c>
      <c r="S342" t="str">
        <f t="shared" si="120"/>
        <v>Games</v>
      </c>
      <c r="T342" t="str">
        <f t="shared" si="121"/>
        <v>Barney</v>
      </c>
      <c r="U342" t="str">
        <f t="shared" si="122"/>
        <v>2017103</v>
      </c>
      <c r="V342" t="str">
        <f t="shared" si="123"/>
        <v>1957</v>
      </c>
      <c r="W342" s="4">
        <f t="shared" si="124"/>
        <v>43011</v>
      </c>
      <c r="X342" s="5">
        <f t="shared" si="125"/>
        <v>1957</v>
      </c>
    </row>
    <row r="343" spans="3:24" x14ac:dyDescent="0.35">
      <c r="C343" s="2">
        <f t="shared" si="105"/>
        <v>342</v>
      </c>
      <c r="D343" t="s">
        <v>341</v>
      </c>
      <c r="E343">
        <f t="shared" si="106"/>
        <v>29</v>
      </c>
      <c r="F343" t="str">
        <f t="shared" si="107"/>
        <v xml:space="preserve">///PR:Music_SP:David20171031     $1247    </v>
      </c>
      <c r="G343">
        <f t="shared" si="108"/>
        <v>32</v>
      </c>
      <c r="H343" t="str">
        <f t="shared" si="109"/>
        <v>///PR:Music_SP:David20171031     $1247</v>
      </c>
      <c r="I343">
        <f t="shared" si="110"/>
        <v>55</v>
      </c>
      <c r="J343" t="str">
        <f t="shared" si="111"/>
        <v>PR:Music_SP:David20171031     $1247</v>
      </c>
      <c r="K343" t="str">
        <f t="shared" si="112"/>
        <v>PR:Music SP:David20171031     $1247</v>
      </c>
      <c r="L343" t="str">
        <f t="shared" si="113"/>
        <v>Music SP:David20171031     $1247</v>
      </c>
      <c r="M343" t="str">
        <f t="shared" si="114"/>
        <v>Music David20171031     $1247</v>
      </c>
      <c r="N343" t="str">
        <f t="shared" si="115"/>
        <v>Music David20171031 $1247</v>
      </c>
      <c r="O343" t="str">
        <f t="shared" si="116"/>
        <v>Music David 20171031 $1247</v>
      </c>
      <c r="P343">
        <f t="shared" si="117"/>
        <v>6</v>
      </c>
      <c r="Q343">
        <f t="shared" si="118"/>
        <v>12</v>
      </c>
      <c r="R343">
        <f t="shared" si="119"/>
        <v>21</v>
      </c>
      <c r="S343" t="str">
        <f t="shared" si="120"/>
        <v>Music</v>
      </c>
      <c r="T343" t="str">
        <f t="shared" si="121"/>
        <v>David</v>
      </c>
      <c r="U343" t="str">
        <f t="shared" si="122"/>
        <v>20171031</v>
      </c>
      <c r="V343" t="str">
        <f t="shared" si="123"/>
        <v>1247</v>
      </c>
      <c r="W343" s="4">
        <f t="shared" si="124"/>
        <v>43039</v>
      </c>
      <c r="X343" s="5">
        <f t="shared" si="125"/>
        <v>1247</v>
      </c>
    </row>
    <row r="344" spans="3:24" x14ac:dyDescent="0.35">
      <c r="C344" s="2">
        <f t="shared" si="105"/>
        <v>343</v>
      </c>
      <c r="D344" t="s">
        <v>342</v>
      </c>
      <c r="E344">
        <f t="shared" si="106"/>
        <v>31</v>
      </c>
      <c r="F344" t="str">
        <f t="shared" si="107"/>
        <v xml:space="preserve">//PR:Games__SP:Barney2017108  $1478  </v>
      </c>
      <c r="G344">
        <f t="shared" si="108"/>
        <v>32</v>
      </c>
      <c r="H344" t="str">
        <f t="shared" si="109"/>
        <v>//PR:Games__SP:Barney2017108  $1478</v>
      </c>
      <c r="I344">
        <f t="shared" si="110"/>
        <v>56</v>
      </c>
      <c r="J344" t="str">
        <f t="shared" si="111"/>
        <v>PR:Games__SP:Barney2017108  $1478</v>
      </c>
      <c r="K344" t="str">
        <f t="shared" si="112"/>
        <v>PR:Games  SP:Barney2017108  $1478</v>
      </c>
      <c r="L344" t="str">
        <f t="shared" si="113"/>
        <v>Games  SP:Barney2017108  $1478</v>
      </c>
      <c r="M344" t="str">
        <f t="shared" si="114"/>
        <v>Games  Barney2017108  $1478</v>
      </c>
      <c r="N344" t="str">
        <f t="shared" si="115"/>
        <v>Games Barney2017108 $1478</v>
      </c>
      <c r="O344" t="str">
        <f t="shared" si="116"/>
        <v>Games Barney 2017108 $1478</v>
      </c>
      <c r="P344">
        <f t="shared" si="117"/>
        <v>6</v>
      </c>
      <c r="Q344">
        <f t="shared" si="118"/>
        <v>13</v>
      </c>
      <c r="R344">
        <f t="shared" si="119"/>
        <v>21</v>
      </c>
      <c r="S344" t="str">
        <f t="shared" si="120"/>
        <v>Games</v>
      </c>
      <c r="T344" t="str">
        <f t="shared" si="121"/>
        <v>Barney</v>
      </c>
      <c r="U344" t="str">
        <f t="shared" si="122"/>
        <v>2017108</v>
      </c>
      <c r="V344" t="str">
        <f t="shared" si="123"/>
        <v>1478</v>
      </c>
      <c r="W344" s="4">
        <f t="shared" si="124"/>
        <v>43016</v>
      </c>
      <c r="X344" s="5">
        <f t="shared" si="125"/>
        <v>1478</v>
      </c>
    </row>
    <row r="345" spans="3:24" x14ac:dyDescent="0.35">
      <c r="C345" s="2">
        <f t="shared" si="105"/>
        <v>344</v>
      </c>
      <c r="D345" t="s">
        <v>343</v>
      </c>
      <c r="E345">
        <f t="shared" si="106"/>
        <v>28</v>
      </c>
      <c r="F345" t="str">
        <f t="shared" si="107"/>
        <v xml:space="preserve">///PR:Games_____SP:Alice2017109  $0  </v>
      </c>
      <c r="G345">
        <f t="shared" si="108"/>
        <v>32</v>
      </c>
      <c r="H345" t="str">
        <f t="shared" si="109"/>
        <v>///PR:Games_____SP:Alice2017109  $0</v>
      </c>
      <c r="I345">
        <f t="shared" si="110"/>
        <v>48</v>
      </c>
      <c r="J345" t="str">
        <f t="shared" si="111"/>
        <v>PR:Games_____SP:Alice2017109  $0</v>
      </c>
      <c r="K345" t="str">
        <f t="shared" si="112"/>
        <v>PR:Games     SP:Alice2017109  $0</v>
      </c>
      <c r="L345" t="str">
        <f t="shared" si="113"/>
        <v>Games     SP:Alice2017109  $0</v>
      </c>
      <c r="M345" t="str">
        <f t="shared" si="114"/>
        <v>Games     Alice2017109  $0</v>
      </c>
      <c r="N345" t="str">
        <f t="shared" si="115"/>
        <v>Games Alice2017109 $0</v>
      </c>
      <c r="O345" t="str">
        <f t="shared" si="116"/>
        <v>Games Alice 2017109 $0</v>
      </c>
      <c r="P345">
        <f t="shared" si="117"/>
        <v>6</v>
      </c>
      <c r="Q345">
        <f t="shared" si="118"/>
        <v>12</v>
      </c>
      <c r="R345">
        <f t="shared" si="119"/>
        <v>20</v>
      </c>
      <c r="S345" t="str">
        <f t="shared" si="120"/>
        <v>Games</v>
      </c>
      <c r="T345" t="str">
        <f t="shared" si="121"/>
        <v>Alice</v>
      </c>
      <c r="U345" t="str">
        <f t="shared" si="122"/>
        <v>2017109</v>
      </c>
      <c r="V345" t="str">
        <f t="shared" si="123"/>
        <v>0</v>
      </c>
      <c r="W345" s="4">
        <f t="shared" si="124"/>
        <v>43017</v>
      </c>
      <c r="X345" s="5">
        <f t="shared" si="125"/>
        <v>0</v>
      </c>
    </row>
    <row r="346" spans="3:24" x14ac:dyDescent="0.35">
      <c r="C346" s="2">
        <f t="shared" si="105"/>
        <v>345</v>
      </c>
      <c r="D346" t="s">
        <v>344</v>
      </c>
      <c r="E346">
        <f t="shared" si="106"/>
        <v>31</v>
      </c>
      <c r="F346" t="str">
        <f t="shared" si="107"/>
        <v xml:space="preserve">/////PR:Music_____SP:Carol20171028   $1137 </v>
      </c>
      <c r="G346">
        <f t="shared" si="108"/>
        <v>32</v>
      </c>
      <c r="H346" t="str">
        <f t="shared" si="109"/>
        <v>/////PR:Music_____SP:Carol20171028   $1137</v>
      </c>
      <c r="I346">
        <f t="shared" si="110"/>
        <v>55</v>
      </c>
      <c r="J346" t="str">
        <f t="shared" si="111"/>
        <v>PR:Music_____SP:Carol20171028   $1137</v>
      </c>
      <c r="K346" t="str">
        <f t="shared" si="112"/>
        <v>PR:Music     SP:Carol20171028   $1137</v>
      </c>
      <c r="L346" t="str">
        <f t="shared" si="113"/>
        <v>Music     SP:Carol20171028   $1137</v>
      </c>
      <c r="M346" t="str">
        <f t="shared" si="114"/>
        <v>Music     Carol20171028   $1137</v>
      </c>
      <c r="N346" t="str">
        <f t="shared" si="115"/>
        <v>Music Carol20171028 $1137</v>
      </c>
      <c r="O346" t="str">
        <f t="shared" si="116"/>
        <v>Music Carol 20171028 $1137</v>
      </c>
      <c r="P346">
        <f t="shared" si="117"/>
        <v>6</v>
      </c>
      <c r="Q346">
        <f t="shared" si="118"/>
        <v>12</v>
      </c>
      <c r="R346">
        <f t="shared" si="119"/>
        <v>21</v>
      </c>
      <c r="S346" t="str">
        <f t="shared" si="120"/>
        <v>Music</v>
      </c>
      <c r="T346" t="str">
        <f t="shared" si="121"/>
        <v>Carol</v>
      </c>
      <c r="U346" t="str">
        <f t="shared" si="122"/>
        <v>20171028</v>
      </c>
      <c r="V346" t="str">
        <f t="shared" si="123"/>
        <v>1137</v>
      </c>
      <c r="W346" s="4">
        <f t="shared" si="124"/>
        <v>43036</v>
      </c>
      <c r="X346" s="5">
        <f t="shared" si="125"/>
        <v>1137</v>
      </c>
    </row>
    <row r="347" spans="3:24" x14ac:dyDescent="0.35">
      <c r="C347" s="2">
        <f t="shared" si="105"/>
        <v>346</v>
      </c>
      <c r="D347" t="s">
        <v>345</v>
      </c>
      <c r="E347">
        <f t="shared" si="106"/>
        <v>31</v>
      </c>
      <c r="F347" t="str">
        <f t="shared" si="107"/>
        <v xml:space="preserve">///PR:Clothing____SP:Carol2017106    $0   </v>
      </c>
      <c r="G347">
        <f t="shared" si="108"/>
        <v>32</v>
      </c>
      <c r="H347" t="str">
        <f t="shared" si="109"/>
        <v>///PR:Clothing____SP:Carol2017106    $0</v>
      </c>
      <c r="I347">
        <f t="shared" si="110"/>
        <v>48</v>
      </c>
      <c r="J347" t="str">
        <f t="shared" si="111"/>
        <v>PR:Clothing____SP:Carol2017106    $0</v>
      </c>
      <c r="K347" t="str">
        <f t="shared" si="112"/>
        <v>PR:Clothing    SP:Carol2017106    $0</v>
      </c>
      <c r="L347" t="str">
        <f t="shared" si="113"/>
        <v>Clothing    SP:Carol2017106    $0</v>
      </c>
      <c r="M347" t="str">
        <f t="shared" si="114"/>
        <v>Clothing    Carol2017106    $0</v>
      </c>
      <c r="N347" t="str">
        <f t="shared" si="115"/>
        <v>Clothing Carol2017106 $0</v>
      </c>
      <c r="O347" t="str">
        <f t="shared" si="116"/>
        <v>Clothing Carol 2017106 $0</v>
      </c>
      <c r="P347">
        <f t="shared" si="117"/>
        <v>9</v>
      </c>
      <c r="Q347">
        <f t="shared" si="118"/>
        <v>15</v>
      </c>
      <c r="R347">
        <f t="shared" si="119"/>
        <v>23</v>
      </c>
      <c r="S347" t="str">
        <f t="shared" si="120"/>
        <v>Clothing</v>
      </c>
      <c r="T347" t="str">
        <f t="shared" si="121"/>
        <v>Carol</v>
      </c>
      <c r="U347" t="str">
        <f t="shared" si="122"/>
        <v>2017106</v>
      </c>
      <c r="V347" t="str">
        <f t="shared" si="123"/>
        <v>0</v>
      </c>
      <c r="W347" s="4">
        <f t="shared" si="124"/>
        <v>43014</v>
      </c>
      <c r="X347" s="5">
        <f t="shared" si="125"/>
        <v>0</v>
      </c>
    </row>
    <row r="348" spans="3:24" x14ac:dyDescent="0.35">
      <c r="C348" s="2">
        <f t="shared" si="105"/>
        <v>347</v>
      </c>
      <c r="D348" t="s">
        <v>346</v>
      </c>
      <c r="E348">
        <f t="shared" si="106"/>
        <v>29</v>
      </c>
      <c r="F348" t="str">
        <f t="shared" si="107"/>
        <v xml:space="preserve">////PR:Music_SP:Carol20171017    $1223     </v>
      </c>
      <c r="G348">
        <f t="shared" si="108"/>
        <v>32</v>
      </c>
      <c r="H348" t="str">
        <f t="shared" si="109"/>
        <v>////PR:Music_SP:Carol20171017    $1223</v>
      </c>
      <c r="I348">
        <f t="shared" si="110"/>
        <v>51</v>
      </c>
      <c r="J348" t="str">
        <f t="shared" si="111"/>
        <v>PR:Music_SP:Carol20171017    $1223</v>
      </c>
      <c r="K348" t="str">
        <f t="shared" si="112"/>
        <v>PR:Music SP:Carol20171017    $1223</v>
      </c>
      <c r="L348" t="str">
        <f t="shared" si="113"/>
        <v>Music SP:Carol20171017    $1223</v>
      </c>
      <c r="M348" t="str">
        <f t="shared" si="114"/>
        <v>Music Carol20171017    $1223</v>
      </c>
      <c r="N348" t="str">
        <f t="shared" si="115"/>
        <v>Music Carol20171017 $1223</v>
      </c>
      <c r="O348" t="str">
        <f t="shared" si="116"/>
        <v>Music Carol 20171017 $1223</v>
      </c>
      <c r="P348">
        <f t="shared" si="117"/>
        <v>6</v>
      </c>
      <c r="Q348">
        <f t="shared" si="118"/>
        <v>12</v>
      </c>
      <c r="R348">
        <f t="shared" si="119"/>
        <v>21</v>
      </c>
      <c r="S348" t="str">
        <f t="shared" si="120"/>
        <v>Music</v>
      </c>
      <c r="T348" t="str">
        <f t="shared" si="121"/>
        <v>Carol</v>
      </c>
      <c r="U348" t="str">
        <f t="shared" si="122"/>
        <v>20171017</v>
      </c>
      <c r="V348" t="str">
        <f t="shared" si="123"/>
        <v>1223</v>
      </c>
      <c r="W348" s="4">
        <f t="shared" si="124"/>
        <v>43025</v>
      </c>
      <c r="X348" s="5">
        <f t="shared" si="125"/>
        <v>1223</v>
      </c>
    </row>
    <row r="349" spans="3:24" x14ac:dyDescent="0.35">
      <c r="C349" s="2">
        <f t="shared" si="105"/>
        <v>348</v>
      </c>
      <c r="D349" t="s">
        <v>347</v>
      </c>
      <c r="E349">
        <f t="shared" si="106"/>
        <v>31</v>
      </c>
      <c r="F349" t="str">
        <f t="shared" si="107"/>
        <v xml:space="preserve">/PR:Clothing___SP:Barney2017101   $732    </v>
      </c>
      <c r="G349">
        <f t="shared" si="108"/>
        <v>32</v>
      </c>
      <c r="H349" t="str">
        <f t="shared" si="109"/>
        <v>/PR:Clothing___SP:Barney2017101   $732</v>
      </c>
      <c r="I349">
        <f t="shared" si="110"/>
        <v>50</v>
      </c>
      <c r="J349" t="str">
        <f t="shared" si="111"/>
        <v>PR:Clothing___SP:Barney2017101   $732</v>
      </c>
      <c r="K349" t="str">
        <f t="shared" si="112"/>
        <v>PR:Clothing   SP:Barney2017101   $732</v>
      </c>
      <c r="L349" t="str">
        <f t="shared" si="113"/>
        <v>Clothing   SP:Barney2017101   $732</v>
      </c>
      <c r="M349" t="str">
        <f t="shared" si="114"/>
        <v>Clothing   Barney2017101   $732</v>
      </c>
      <c r="N349" t="str">
        <f t="shared" si="115"/>
        <v>Clothing Barney2017101 $732</v>
      </c>
      <c r="O349" t="str">
        <f t="shared" si="116"/>
        <v>Clothing Barney 2017101 $732</v>
      </c>
      <c r="P349">
        <f t="shared" si="117"/>
        <v>9</v>
      </c>
      <c r="Q349">
        <f t="shared" si="118"/>
        <v>16</v>
      </c>
      <c r="R349">
        <f t="shared" si="119"/>
        <v>24</v>
      </c>
      <c r="S349" t="str">
        <f t="shared" si="120"/>
        <v>Clothing</v>
      </c>
      <c r="T349" t="str">
        <f t="shared" si="121"/>
        <v>Barney</v>
      </c>
      <c r="U349" t="str">
        <f t="shared" si="122"/>
        <v>2017101</v>
      </c>
      <c r="V349" t="str">
        <f t="shared" si="123"/>
        <v>732</v>
      </c>
      <c r="W349" s="4">
        <f t="shared" si="124"/>
        <v>43009</v>
      </c>
      <c r="X349" s="5">
        <f t="shared" si="125"/>
        <v>732</v>
      </c>
    </row>
    <row r="350" spans="3:24" x14ac:dyDescent="0.35">
      <c r="C350" s="2">
        <f t="shared" si="105"/>
        <v>349</v>
      </c>
      <c r="D350" t="s">
        <v>348</v>
      </c>
      <c r="E350">
        <f t="shared" si="106"/>
        <v>31</v>
      </c>
      <c r="F350" t="str">
        <f t="shared" si="107"/>
        <v xml:space="preserve">////PR:Clothing___SP:Carol20171020    $0     </v>
      </c>
      <c r="G350">
        <f t="shared" si="108"/>
        <v>32</v>
      </c>
      <c r="H350" t="str">
        <f t="shared" si="109"/>
        <v>////PR:Clothing___SP:Carol20171020    $0</v>
      </c>
      <c r="I350">
        <f t="shared" si="110"/>
        <v>48</v>
      </c>
      <c r="J350" t="str">
        <f t="shared" si="111"/>
        <v>PR:Clothing___SP:Carol20171020    $0</v>
      </c>
      <c r="K350" t="str">
        <f t="shared" si="112"/>
        <v>PR:Clothing   SP:Carol20171020    $0</v>
      </c>
      <c r="L350" t="str">
        <f t="shared" si="113"/>
        <v>Clothing   SP:Carol20171020    $0</v>
      </c>
      <c r="M350" t="str">
        <f t="shared" si="114"/>
        <v>Clothing   Carol20171020    $0</v>
      </c>
      <c r="N350" t="str">
        <f t="shared" si="115"/>
        <v>Clothing Carol20171020 $0</v>
      </c>
      <c r="O350" t="str">
        <f t="shared" si="116"/>
        <v>Clothing Carol 20171020 $0</v>
      </c>
      <c r="P350">
        <f t="shared" si="117"/>
        <v>9</v>
      </c>
      <c r="Q350">
        <f t="shared" si="118"/>
        <v>15</v>
      </c>
      <c r="R350">
        <f t="shared" si="119"/>
        <v>24</v>
      </c>
      <c r="S350" t="str">
        <f t="shared" si="120"/>
        <v>Clothing</v>
      </c>
      <c r="T350" t="str">
        <f t="shared" si="121"/>
        <v>Carol</v>
      </c>
      <c r="U350" t="str">
        <f t="shared" si="122"/>
        <v>20171020</v>
      </c>
      <c r="V350" t="str">
        <f t="shared" si="123"/>
        <v>0</v>
      </c>
      <c r="W350" s="4">
        <f t="shared" si="124"/>
        <v>43028</v>
      </c>
      <c r="X350" s="5">
        <f t="shared" si="125"/>
        <v>0</v>
      </c>
    </row>
    <row r="351" spans="3:24" x14ac:dyDescent="0.35">
      <c r="C351" s="2">
        <f t="shared" si="105"/>
        <v>350</v>
      </c>
      <c r="D351" t="s">
        <v>349</v>
      </c>
      <c r="E351">
        <f t="shared" si="106"/>
        <v>29</v>
      </c>
      <c r="F351" t="str">
        <f t="shared" si="107"/>
        <v xml:space="preserve">//PR:Books___SP:Carol2017105    $619    </v>
      </c>
      <c r="G351">
        <f t="shared" si="108"/>
        <v>32</v>
      </c>
      <c r="H351" t="str">
        <f t="shared" si="109"/>
        <v>//PR:Books___SP:Carol2017105    $619</v>
      </c>
      <c r="I351">
        <f t="shared" si="110"/>
        <v>57</v>
      </c>
      <c r="J351" t="str">
        <f t="shared" si="111"/>
        <v>PR:Books___SP:Carol2017105    $619</v>
      </c>
      <c r="K351" t="str">
        <f t="shared" si="112"/>
        <v>PR:Books   SP:Carol2017105    $619</v>
      </c>
      <c r="L351" t="str">
        <f t="shared" si="113"/>
        <v>Books   SP:Carol2017105    $619</v>
      </c>
      <c r="M351" t="str">
        <f t="shared" si="114"/>
        <v>Books   Carol2017105    $619</v>
      </c>
      <c r="N351" t="str">
        <f t="shared" si="115"/>
        <v>Books Carol2017105 $619</v>
      </c>
      <c r="O351" t="str">
        <f t="shared" si="116"/>
        <v>Books Carol 2017105 $619</v>
      </c>
      <c r="P351">
        <f t="shared" si="117"/>
        <v>6</v>
      </c>
      <c r="Q351">
        <f t="shared" si="118"/>
        <v>12</v>
      </c>
      <c r="R351">
        <f t="shared" si="119"/>
        <v>20</v>
      </c>
      <c r="S351" t="str">
        <f t="shared" si="120"/>
        <v>Books</v>
      </c>
      <c r="T351" t="str">
        <f t="shared" si="121"/>
        <v>Carol</v>
      </c>
      <c r="U351" t="str">
        <f t="shared" si="122"/>
        <v>2017105</v>
      </c>
      <c r="V351" t="str">
        <f t="shared" si="123"/>
        <v>619</v>
      </c>
      <c r="W351" s="4">
        <f t="shared" si="124"/>
        <v>43013</v>
      </c>
      <c r="X351" s="5">
        <f t="shared" si="125"/>
        <v>619</v>
      </c>
    </row>
    <row r="352" spans="3:24" x14ac:dyDescent="0.35">
      <c r="C352" s="2">
        <f t="shared" si="105"/>
        <v>351</v>
      </c>
      <c r="D352" t="s">
        <v>350</v>
      </c>
      <c r="E352">
        <f t="shared" si="106"/>
        <v>31</v>
      </c>
      <c r="F352" t="str">
        <f t="shared" si="107"/>
        <v xml:space="preserve">/PR:Clothing_SP:Alice20171019     $877  </v>
      </c>
      <c r="G352">
        <f t="shared" si="108"/>
        <v>32</v>
      </c>
      <c r="H352" t="str">
        <f t="shared" si="109"/>
        <v>/PR:Clothing_SP:Alice20171019     $877</v>
      </c>
      <c r="I352">
        <f t="shared" si="110"/>
        <v>55</v>
      </c>
      <c r="J352" t="str">
        <f t="shared" si="111"/>
        <v>PR:Clothing_SP:Alice20171019     $877</v>
      </c>
      <c r="K352" t="str">
        <f t="shared" si="112"/>
        <v>PR:Clothing SP:Alice20171019     $877</v>
      </c>
      <c r="L352" t="str">
        <f t="shared" si="113"/>
        <v>Clothing SP:Alice20171019     $877</v>
      </c>
      <c r="M352" t="str">
        <f t="shared" si="114"/>
        <v>Clothing Alice20171019     $877</v>
      </c>
      <c r="N352" t="str">
        <f t="shared" si="115"/>
        <v>Clothing Alice20171019 $877</v>
      </c>
      <c r="O352" t="str">
        <f t="shared" si="116"/>
        <v>Clothing Alice 20171019 $877</v>
      </c>
      <c r="P352">
        <f t="shared" si="117"/>
        <v>9</v>
      </c>
      <c r="Q352">
        <f t="shared" si="118"/>
        <v>15</v>
      </c>
      <c r="R352">
        <f t="shared" si="119"/>
        <v>24</v>
      </c>
      <c r="S352" t="str">
        <f t="shared" si="120"/>
        <v>Clothing</v>
      </c>
      <c r="T352" t="str">
        <f t="shared" si="121"/>
        <v>Alice</v>
      </c>
      <c r="U352" t="str">
        <f t="shared" si="122"/>
        <v>20171019</v>
      </c>
      <c r="V352" t="str">
        <f t="shared" si="123"/>
        <v>877</v>
      </c>
      <c r="W352" s="4">
        <f t="shared" si="124"/>
        <v>43027</v>
      </c>
      <c r="X352" s="5">
        <f t="shared" si="125"/>
        <v>877</v>
      </c>
    </row>
    <row r="353" spans="3:24" x14ac:dyDescent="0.35">
      <c r="C353" s="2">
        <f t="shared" si="105"/>
        <v>352</v>
      </c>
      <c r="D353" t="s">
        <v>351</v>
      </c>
      <c r="E353">
        <f t="shared" si="106"/>
        <v>29</v>
      </c>
      <c r="F353" t="str">
        <f t="shared" si="107"/>
        <v xml:space="preserve">///PR:Books_____SP:David20171031    $629   </v>
      </c>
      <c r="G353">
        <f t="shared" si="108"/>
        <v>32</v>
      </c>
      <c r="H353" t="str">
        <f t="shared" si="109"/>
        <v>///PR:Books_____SP:David20171031    $629</v>
      </c>
      <c r="I353">
        <f t="shared" si="110"/>
        <v>57</v>
      </c>
      <c r="J353" t="str">
        <f t="shared" si="111"/>
        <v>PR:Books_____SP:David20171031    $629</v>
      </c>
      <c r="K353" t="str">
        <f t="shared" si="112"/>
        <v>PR:Books     SP:David20171031    $629</v>
      </c>
      <c r="L353" t="str">
        <f t="shared" si="113"/>
        <v>Books     SP:David20171031    $629</v>
      </c>
      <c r="M353" t="str">
        <f t="shared" si="114"/>
        <v>Books     David20171031    $629</v>
      </c>
      <c r="N353" t="str">
        <f t="shared" si="115"/>
        <v>Books David20171031 $629</v>
      </c>
      <c r="O353" t="str">
        <f t="shared" si="116"/>
        <v>Books David 20171031 $629</v>
      </c>
      <c r="P353">
        <f t="shared" si="117"/>
        <v>6</v>
      </c>
      <c r="Q353">
        <f t="shared" si="118"/>
        <v>12</v>
      </c>
      <c r="R353">
        <f t="shared" si="119"/>
        <v>21</v>
      </c>
      <c r="S353" t="str">
        <f t="shared" si="120"/>
        <v>Books</v>
      </c>
      <c r="T353" t="str">
        <f t="shared" si="121"/>
        <v>David</v>
      </c>
      <c r="U353" t="str">
        <f t="shared" si="122"/>
        <v>20171031</v>
      </c>
      <c r="V353" t="str">
        <f t="shared" si="123"/>
        <v>629</v>
      </c>
      <c r="W353" s="4">
        <f t="shared" si="124"/>
        <v>43039</v>
      </c>
      <c r="X353" s="5">
        <f t="shared" si="125"/>
        <v>629</v>
      </c>
    </row>
    <row r="354" spans="3:24" x14ac:dyDescent="0.35">
      <c r="C354" s="2">
        <f t="shared" si="105"/>
        <v>353</v>
      </c>
      <c r="D354" t="s">
        <v>352</v>
      </c>
      <c r="E354">
        <f t="shared" si="106"/>
        <v>29</v>
      </c>
      <c r="F354" t="str">
        <f t="shared" si="107"/>
        <v xml:space="preserve">///PR:Clothing____SP:Carol2017103     $1069 </v>
      </c>
      <c r="G354">
        <f t="shared" si="108"/>
        <v>32</v>
      </c>
      <c r="H354" t="str">
        <f t="shared" si="109"/>
        <v>///PR:Clothing____SP:Carol2017103     $1069</v>
      </c>
      <c r="I354">
        <f t="shared" si="110"/>
        <v>57</v>
      </c>
      <c r="J354" t="str">
        <f t="shared" si="111"/>
        <v>PR:Clothing____SP:Carol2017103     $1069</v>
      </c>
      <c r="K354" t="str">
        <f t="shared" si="112"/>
        <v>PR:Clothing    SP:Carol2017103     $1069</v>
      </c>
      <c r="L354" t="str">
        <f t="shared" si="113"/>
        <v>Clothing    SP:Carol2017103     $1069</v>
      </c>
      <c r="M354" t="str">
        <f t="shared" si="114"/>
        <v>Clothing    Carol2017103     $1069</v>
      </c>
      <c r="N354" t="str">
        <f t="shared" si="115"/>
        <v>Clothing Carol2017103 $1069</v>
      </c>
      <c r="O354" t="str">
        <f t="shared" si="116"/>
        <v>Clothing Carol 2017103 $1069</v>
      </c>
      <c r="P354">
        <f t="shared" si="117"/>
        <v>9</v>
      </c>
      <c r="Q354">
        <f t="shared" si="118"/>
        <v>15</v>
      </c>
      <c r="R354">
        <f t="shared" si="119"/>
        <v>23</v>
      </c>
      <c r="S354" t="str">
        <f t="shared" si="120"/>
        <v>Clothing</v>
      </c>
      <c r="T354" t="str">
        <f t="shared" si="121"/>
        <v>Carol</v>
      </c>
      <c r="U354" t="str">
        <f t="shared" si="122"/>
        <v>2017103</v>
      </c>
      <c r="V354" t="str">
        <f t="shared" si="123"/>
        <v>1069</v>
      </c>
      <c r="W354" s="4">
        <f t="shared" si="124"/>
        <v>43011</v>
      </c>
      <c r="X354" s="5">
        <f t="shared" si="125"/>
        <v>1069</v>
      </c>
    </row>
    <row r="355" spans="3:24" x14ac:dyDescent="0.35">
      <c r="C355" s="2">
        <f t="shared" si="105"/>
        <v>354</v>
      </c>
      <c r="D355" t="s">
        <v>353</v>
      </c>
      <c r="E355">
        <f t="shared" si="106"/>
        <v>31</v>
      </c>
      <c r="F355" t="str">
        <f t="shared" si="107"/>
        <v xml:space="preserve">////PR:Music__SP:Alice20171022    $1348  </v>
      </c>
      <c r="G355">
        <f t="shared" si="108"/>
        <v>32</v>
      </c>
      <c r="H355" t="str">
        <f t="shared" si="109"/>
        <v>////PR:Music__SP:Alice20171022    $1348</v>
      </c>
      <c r="I355">
        <f t="shared" si="110"/>
        <v>56</v>
      </c>
      <c r="J355" t="str">
        <f t="shared" si="111"/>
        <v>PR:Music__SP:Alice20171022    $1348</v>
      </c>
      <c r="K355" t="str">
        <f t="shared" si="112"/>
        <v>PR:Music  SP:Alice20171022    $1348</v>
      </c>
      <c r="L355" t="str">
        <f t="shared" si="113"/>
        <v>Music  SP:Alice20171022    $1348</v>
      </c>
      <c r="M355" t="str">
        <f t="shared" si="114"/>
        <v>Music  Alice20171022    $1348</v>
      </c>
      <c r="N355" t="str">
        <f t="shared" si="115"/>
        <v>Music Alice20171022 $1348</v>
      </c>
      <c r="O355" t="str">
        <f t="shared" si="116"/>
        <v>Music Alice 20171022 $1348</v>
      </c>
      <c r="P355">
        <f t="shared" si="117"/>
        <v>6</v>
      </c>
      <c r="Q355">
        <f t="shared" si="118"/>
        <v>12</v>
      </c>
      <c r="R355">
        <f t="shared" si="119"/>
        <v>21</v>
      </c>
      <c r="S355" t="str">
        <f t="shared" si="120"/>
        <v>Music</v>
      </c>
      <c r="T355" t="str">
        <f t="shared" si="121"/>
        <v>Alice</v>
      </c>
      <c r="U355" t="str">
        <f t="shared" si="122"/>
        <v>20171022</v>
      </c>
      <c r="V355" t="str">
        <f t="shared" si="123"/>
        <v>1348</v>
      </c>
      <c r="W355" s="4">
        <f t="shared" si="124"/>
        <v>43030</v>
      </c>
      <c r="X355" s="5">
        <f t="shared" si="125"/>
        <v>1348</v>
      </c>
    </row>
    <row r="356" spans="3:24" x14ac:dyDescent="0.35">
      <c r="C356" s="2">
        <f t="shared" si="105"/>
        <v>355</v>
      </c>
      <c r="D356" t="s">
        <v>354</v>
      </c>
      <c r="E356">
        <f t="shared" si="106"/>
        <v>29</v>
      </c>
      <c r="F356" t="str">
        <f t="shared" si="107"/>
        <v xml:space="preserve">//PR:Clothing_____SP:David20171017  $1475 </v>
      </c>
      <c r="G356">
        <f t="shared" si="108"/>
        <v>32</v>
      </c>
      <c r="H356" t="str">
        <f t="shared" si="109"/>
        <v>//PR:Clothing_____SP:David20171017  $1475</v>
      </c>
      <c r="I356">
        <f t="shared" si="110"/>
        <v>53</v>
      </c>
      <c r="J356" t="str">
        <f t="shared" si="111"/>
        <v>PR:Clothing_____SP:David20171017  $1475</v>
      </c>
      <c r="K356" t="str">
        <f t="shared" si="112"/>
        <v>PR:Clothing     SP:David20171017  $1475</v>
      </c>
      <c r="L356" t="str">
        <f t="shared" si="113"/>
        <v>Clothing     SP:David20171017  $1475</v>
      </c>
      <c r="M356" t="str">
        <f t="shared" si="114"/>
        <v>Clothing     David20171017  $1475</v>
      </c>
      <c r="N356" t="str">
        <f t="shared" si="115"/>
        <v>Clothing David20171017 $1475</v>
      </c>
      <c r="O356" t="str">
        <f t="shared" si="116"/>
        <v>Clothing David 20171017 $1475</v>
      </c>
      <c r="P356">
        <f t="shared" si="117"/>
        <v>9</v>
      </c>
      <c r="Q356">
        <f t="shared" si="118"/>
        <v>15</v>
      </c>
      <c r="R356">
        <f t="shared" si="119"/>
        <v>24</v>
      </c>
      <c r="S356" t="str">
        <f t="shared" si="120"/>
        <v>Clothing</v>
      </c>
      <c r="T356" t="str">
        <f t="shared" si="121"/>
        <v>David</v>
      </c>
      <c r="U356" t="str">
        <f t="shared" si="122"/>
        <v>20171017</v>
      </c>
      <c r="V356" t="str">
        <f t="shared" si="123"/>
        <v>1475</v>
      </c>
      <c r="W356" s="4">
        <f t="shared" si="124"/>
        <v>43025</v>
      </c>
      <c r="X356" s="5">
        <f t="shared" si="125"/>
        <v>1475</v>
      </c>
    </row>
    <row r="357" spans="3:24" x14ac:dyDescent="0.35">
      <c r="C357" s="2">
        <f t="shared" si="105"/>
        <v>356</v>
      </c>
      <c r="D357" t="s">
        <v>355</v>
      </c>
      <c r="E357">
        <f t="shared" si="106"/>
        <v>30</v>
      </c>
      <c r="F357" t="str">
        <f t="shared" si="107"/>
        <v xml:space="preserve">///PR:Music__SP:Carol20171021    $0 </v>
      </c>
      <c r="G357">
        <f t="shared" si="108"/>
        <v>32</v>
      </c>
      <c r="H357" t="str">
        <f t="shared" si="109"/>
        <v>///PR:Music__SP:Carol20171021    $0</v>
      </c>
      <c r="I357">
        <f t="shared" si="110"/>
        <v>48</v>
      </c>
      <c r="J357" t="str">
        <f t="shared" si="111"/>
        <v>PR:Music__SP:Carol20171021    $0</v>
      </c>
      <c r="K357" t="str">
        <f t="shared" si="112"/>
        <v>PR:Music  SP:Carol20171021    $0</v>
      </c>
      <c r="L357" t="str">
        <f t="shared" si="113"/>
        <v>Music  SP:Carol20171021    $0</v>
      </c>
      <c r="M357" t="str">
        <f t="shared" si="114"/>
        <v>Music  Carol20171021    $0</v>
      </c>
      <c r="N357" t="str">
        <f t="shared" si="115"/>
        <v>Music Carol20171021 $0</v>
      </c>
      <c r="O357" t="str">
        <f t="shared" si="116"/>
        <v>Music Carol 20171021 $0</v>
      </c>
      <c r="P357">
        <f t="shared" si="117"/>
        <v>6</v>
      </c>
      <c r="Q357">
        <f t="shared" si="118"/>
        <v>12</v>
      </c>
      <c r="R357">
        <f t="shared" si="119"/>
        <v>21</v>
      </c>
      <c r="S357" t="str">
        <f t="shared" si="120"/>
        <v>Music</v>
      </c>
      <c r="T357" t="str">
        <f t="shared" si="121"/>
        <v>Carol</v>
      </c>
      <c r="U357" t="str">
        <f t="shared" si="122"/>
        <v>20171021</v>
      </c>
      <c r="V357" t="str">
        <f t="shared" si="123"/>
        <v>0</v>
      </c>
      <c r="W357" s="4">
        <f t="shared" si="124"/>
        <v>43029</v>
      </c>
      <c r="X357" s="5">
        <f t="shared" si="125"/>
        <v>0</v>
      </c>
    </row>
    <row r="358" spans="3:24" x14ac:dyDescent="0.35">
      <c r="C358" s="2">
        <f t="shared" si="105"/>
        <v>357</v>
      </c>
      <c r="D358" t="s">
        <v>356</v>
      </c>
      <c r="E358">
        <f t="shared" si="106"/>
        <v>29</v>
      </c>
      <c r="F358" t="str">
        <f t="shared" si="107"/>
        <v xml:space="preserve">///PR:Games___SP:Alice20171014   $2209     </v>
      </c>
      <c r="G358">
        <f t="shared" si="108"/>
        <v>32</v>
      </c>
      <c r="H358" t="str">
        <f t="shared" si="109"/>
        <v>///PR:Games___SP:Alice20171014   $2209</v>
      </c>
      <c r="I358">
        <f t="shared" si="110"/>
        <v>57</v>
      </c>
      <c r="J358" t="str">
        <f t="shared" si="111"/>
        <v>PR:Games___SP:Alice20171014   $2209</v>
      </c>
      <c r="K358" t="str">
        <f t="shared" si="112"/>
        <v>PR:Games   SP:Alice20171014   $2209</v>
      </c>
      <c r="L358" t="str">
        <f t="shared" si="113"/>
        <v>Games   SP:Alice20171014   $2209</v>
      </c>
      <c r="M358" t="str">
        <f t="shared" si="114"/>
        <v>Games   Alice20171014   $2209</v>
      </c>
      <c r="N358" t="str">
        <f t="shared" si="115"/>
        <v>Games Alice20171014 $2209</v>
      </c>
      <c r="O358" t="str">
        <f t="shared" si="116"/>
        <v>Games Alice 20171014 $2209</v>
      </c>
      <c r="P358">
        <f t="shared" si="117"/>
        <v>6</v>
      </c>
      <c r="Q358">
        <f t="shared" si="118"/>
        <v>12</v>
      </c>
      <c r="R358">
        <f t="shared" si="119"/>
        <v>21</v>
      </c>
      <c r="S358" t="str">
        <f t="shared" si="120"/>
        <v>Games</v>
      </c>
      <c r="T358" t="str">
        <f t="shared" si="121"/>
        <v>Alice</v>
      </c>
      <c r="U358" t="str">
        <f t="shared" si="122"/>
        <v>20171014</v>
      </c>
      <c r="V358" t="str">
        <f t="shared" si="123"/>
        <v>2209</v>
      </c>
      <c r="W358" s="4">
        <f t="shared" si="124"/>
        <v>43022</v>
      </c>
      <c r="X358" s="5">
        <f t="shared" si="125"/>
        <v>2209</v>
      </c>
    </row>
    <row r="359" spans="3:24" x14ac:dyDescent="0.35">
      <c r="C359" s="2">
        <f t="shared" si="105"/>
        <v>358</v>
      </c>
      <c r="D359" t="s">
        <v>357</v>
      </c>
      <c r="E359">
        <f t="shared" si="106"/>
        <v>30</v>
      </c>
      <c r="F359" t="str">
        <f t="shared" si="107"/>
        <v xml:space="preserve">/////PR:Games___SP:David20171024     $0    </v>
      </c>
      <c r="G359">
        <f t="shared" si="108"/>
        <v>32</v>
      </c>
      <c r="H359" t="str">
        <f t="shared" si="109"/>
        <v>/////PR:Games___SP:David20171024     $0</v>
      </c>
      <c r="I359">
        <f t="shared" si="110"/>
        <v>48</v>
      </c>
      <c r="J359" t="str">
        <f t="shared" si="111"/>
        <v>PR:Games___SP:David20171024     $0</v>
      </c>
      <c r="K359" t="str">
        <f t="shared" si="112"/>
        <v>PR:Games   SP:David20171024     $0</v>
      </c>
      <c r="L359" t="str">
        <f t="shared" si="113"/>
        <v>Games   SP:David20171024     $0</v>
      </c>
      <c r="M359" t="str">
        <f t="shared" si="114"/>
        <v>Games   David20171024     $0</v>
      </c>
      <c r="N359" t="str">
        <f t="shared" si="115"/>
        <v>Games David20171024 $0</v>
      </c>
      <c r="O359" t="str">
        <f t="shared" si="116"/>
        <v>Games David 20171024 $0</v>
      </c>
      <c r="P359">
        <f t="shared" si="117"/>
        <v>6</v>
      </c>
      <c r="Q359">
        <f t="shared" si="118"/>
        <v>12</v>
      </c>
      <c r="R359">
        <f t="shared" si="119"/>
        <v>21</v>
      </c>
      <c r="S359" t="str">
        <f t="shared" si="120"/>
        <v>Games</v>
      </c>
      <c r="T359" t="str">
        <f t="shared" si="121"/>
        <v>David</v>
      </c>
      <c r="U359" t="str">
        <f t="shared" si="122"/>
        <v>20171024</v>
      </c>
      <c r="V359" t="str">
        <f t="shared" si="123"/>
        <v>0</v>
      </c>
      <c r="W359" s="4">
        <f t="shared" si="124"/>
        <v>43032</v>
      </c>
      <c r="X359" s="5">
        <f t="shared" si="125"/>
        <v>0</v>
      </c>
    </row>
    <row r="360" spans="3:24" x14ac:dyDescent="0.35">
      <c r="C360" s="2">
        <f t="shared" si="105"/>
        <v>359</v>
      </c>
      <c r="D360" t="s">
        <v>358</v>
      </c>
      <c r="E360">
        <f t="shared" si="106"/>
        <v>31</v>
      </c>
      <c r="F360" t="str">
        <f t="shared" si="107"/>
        <v xml:space="preserve">////PR:Games____SP:Barney20171019 $0 </v>
      </c>
      <c r="G360">
        <f t="shared" si="108"/>
        <v>32</v>
      </c>
      <c r="H360" t="str">
        <f t="shared" si="109"/>
        <v>////PR:Games____SP:Barney20171019 $0</v>
      </c>
      <c r="I360">
        <f t="shared" si="110"/>
        <v>48</v>
      </c>
      <c r="J360" t="str">
        <f t="shared" si="111"/>
        <v>PR:Games____SP:Barney20171019 $0</v>
      </c>
      <c r="K360" t="str">
        <f t="shared" si="112"/>
        <v>PR:Games    SP:Barney20171019 $0</v>
      </c>
      <c r="L360" t="str">
        <f t="shared" si="113"/>
        <v>Games    SP:Barney20171019 $0</v>
      </c>
      <c r="M360" t="str">
        <f t="shared" si="114"/>
        <v>Games    Barney20171019 $0</v>
      </c>
      <c r="N360" t="str">
        <f t="shared" si="115"/>
        <v>Games Barney20171019 $0</v>
      </c>
      <c r="O360" t="str">
        <f t="shared" si="116"/>
        <v>Games Barney 20171019 $0</v>
      </c>
      <c r="P360">
        <f t="shared" si="117"/>
        <v>6</v>
      </c>
      <c r="Q360">
        <f t="shared" si="118"/>
        <v>13</v>
      </c>
      <c r="R360">
        <f t="shared" si="119"/>
        <v>22</v>
      </c>
      <c r="S360" t="str">
        <f t="shared" si="120"/>
        <v>Games</v>
      </c>
      <c r="T360" t="str">
        <f t="shared" si="121"/>
        <v>Barney</v>
      </c>
      <c r="U360" t="str">
        <f t="shared" si="122"/>
        <v>20171019</v>
      </c>
      <c r="V360" t="str">
        <f t="shared" si="123"/>
        <v>0</v>
      </c>
      <c r="W360" s="4">
        <f t="shared" si="124"/>
        <v>43027</v>
      </c>
      <c r="X360" s="5">
        <f t="shared" si="125"/>
        <v>0</v>
      </c>
    </row>
    <row r="361" spans="3:24" x14ac:dyDescent="0.35">
      <c r="C361" s="2">
        <f t="shared" si="105"/>
        <v>360</v>
      </c>
      <c r="D361" t="s">
        <v>359</v>
      </c>
      <c r="E361">
        <f t="shared" si="106"/>
        <v>30</v>
      </c>
      <c r="F361" t="str">
        <f t="shared" si="107"/>
        <v xml:space="preserve">///PR:Games___SP:Carol2017106  $1733 </v>
      </c>
      <c r="G361">
        <f t="shared" si="108"/>
        <v>32</v>
      </c>
      <c r="H361" t="str">
        <f t="shared" si="109"/>
        <v>///PR:Games___SP:Carol2017106  $1733</v>
      </c>
      <c r="I361">
        <f t="shared" si="110"/>
        <v>51</v>
      </c>
      <c r="J361" t="str">
        <f t="shared" si="111"/>
        <v>PR:Games___SP:Carol2017106  $1733</v>
      </c>
      <c r="K361" t="str">
        <f t="shared" si="112"/>
        <v>PR:Games   SP:Carol2017106  $1733</v>
      </c>
      <c r="L361" t="str">
        <f t="shared" si="113"/>
        <v>Games   SP:Carol2017106  $1733</v>
      </c>
      <c r="M361" t="str">
        <f t="shared" si="114"/>
        <v>Games   Carol2017106  $1733</v>
      </c>
      <c r="N361" t="str">
        <f t="shared" si="115"/>
        <v>Games Carol2017106 $1733</v>
      </c>
      <c r="O361" t="str">
        <f t="shared" si="116"/>
        <v>Games Carol 2017106 $1733</v>
      </c>
      <c r="P361">
        <f t="shared" si="117"/>
        <v>6</v>
      </c>
      <c r="Q361">
        <f t="shared" si="118"/>
        <v>12</v>
      </c>
      <c r="R361">
        <f t="shared" si="119"/>
        <v>20</v>
      </c>
      <c r="S361" t="str">
        <f t="shared" si="120"/>
        <v>Games</v>
      </c>
      <c r="T361" t="str">
        <f t="shared" si="121"/>
        <v>Carol</v>
      </c>
      <c r="U361" t="str">
        <f t="shared" si="122"/>
        <v>2017106</v>
      </c>
      <c r="V361" t="str">
        <f t="shared" si="123"/>
        <v>1733</v>
      </c>
      <c r="W361" s="4">
        <f t="shared" si="124"/>
        <v>43014</v>
      </c>
      <c r="X361" s="5">
        <f t="shared" si="125"/>
        <v>1733</v>
      </c>
    </row>
    <row r="362" spans="3:24" x14ac:dyDescent="0.35">
      <c r="C362" s="2">
        <f t="shared" si="105"/>
        <v>361</v>
      </c>
      <c r="D362" t="s">
        <v>360</v>
      </c>
      <c r="E362">
        <f t="shared" si="106"/>
        <v>30</v>
      </c>
      <c r="F362" t="str">
        <f t="shared" si="107"/>
        <v xml:space="preserve">/////PR:Games__SP:David2017105    $1878     </v>
      </c>
      <c r="G362">
        <f t="shared" si="108"/>
        <v>32</v>
      </c>
      <c r="H362" t="str">
        <f t="shared" si="109"/>
        <v>/////PR:Games__SP:David2017105    $1878</v>
      </c>
      <c r="I362">
        <f t="shared" si="110"/>
        <v>56</v>
      </c>
      <c r="J362" t="str">
        <f t="shared" si="111"/>
        <v>PR:Games__SP:David2017105    $1878</v>
      </c>
      <c r="K362" t="str">
        <f t="shared" si="112"/>
        <v>PR:Games  SP:David2017105    $1878</v>
      </c>
      <c r="L362" t="str">
        <f t="shared" si="113"/>
        <v>Games  SP:David2017105    $1878</v>
      </c>
      <c r="M362" t="str">
        <f t="shared" si="114"/>
        <v>Games  David2017105    $1878</v>
      </c>
      <c r="N362" t="str">
        <f t="shared" si="115"/>
        <v>Games David2017105 $1878</v>
      </c>
      <c r="O362" t="str">
        <f t="shared" si="116"/>
        <v>Games David 2017105 $1878</v>
      </c>
      <c r="P362">
        <f t="shared" si="117"/>
        <v>6</v>
      </c>
      <c r="Q362">
        <f t="shared" si="118"/>
        <v>12</v>
      </c>
      <c r="R362">
        <f t="shared" si="119"/>
        <v>20</v>
      </c>
      <c r="S362" t="str">
        <f t="shared" si="120"/>
        <v>Games</v>
      </c>
      <c r="T362" t="str">
        <f t="shared" si="121"/>
        <v>David</v>
      </c>
      <c r="U362" t="str">
        <f t="shared" si="122"/>
        <v>2017105</v>
      </c>
      <c r="V362" t="str">
        <f t="shared" si="123"/>
        <v>1878</v>
      </c>
      <c r="W362" s="4">
        <f t="shared" si="124"/>
        <v>43013</v>
      </c>
      <c r="X362" s="5">
        <f t="shared" si="125"/>
        <v>1878</v>
      </c>
    </row>
    <row r="363" spans="3:24" x14ac:dyDescent="0.35">
      <c r="C363" s="2">
        <f t="shared" si="105"/>
        <v>362</v>
      </c>
      <c r="D363" t="s">
        <v>361</v>
      </c>
      <c r="E363">
        <f t="shared" si="106"/>
        <v>28</v>
      </c>
      <c r="F363" t="str">
        <f t="shared" si="107"/>
        <v xml:space="preserve">//PR:Clothing___SP:Barney20171012    $925     </v>
      </c>
      <c r="G363">
        <f t="shared" si="108"/>
        <v>32</v>
      </c>
      <c r="H363" t="str">
        <f t="shared" si="109"/>
        <v>//PR:Clothing___SP:Barney20171012    $925</v>
      </c>
      <c r="I363">
        <f t="shared" si="110"/>
        <v>53</v>
      </c>
      <c r="J363" t="str">
        <f t="shared" si="111"/>
        <v>PR:Clothing___SP:Barney20171012    $925</v>
      </c>
      <c r="K363" t="str">
        <f t="shared" si="112"/>
        <v>PR:Clothing   SP:Barney20171012    $925</v>
      </c>
      <c r="L363" t="str">
        <f t="shared" si="113"/>
        <v>Clothing   SP:Barney20171012    $925</v>
      </c>
      <c r="M363" t="str">
        <f t="shared" si="114"/>
        <v>Clothing   Barney20171012    $925</v>
      </c>
      <c r="N363" t="str">
        <f t="shared" si="115"/>
        <v>Clothing Barney20171012 $925</v>
      </c>
      <c r="O363" t="str">
        <f t="shared" si="116"/>
        <v>Clothing Barney 20171012 $925</v>
      </c>
      <c r="P363">
        <f t="shared" si="117"/>
        <v>9</v>
      </c>
      <c r="Q363">
        <f t="shared" si="118"/>
        <v>16</v>
      </c>
      <c r="R363">
        <f t="shared" si="119"/>
        <v>25</v>
      </c>
      <c r="S363" t="str">
        <f t="shared" si="120"/>
        <v>Clothing</v>
      </c>
      <c r="T363" t="str">
        <f t="shared" si="121"/>
        <v>Barney</v>
      </c>
      <c r="U363" t="str">
        <f t="shared" si="122"/>
        <v>20171012</v>
      </c>
      <c r="V363" t="str">
        <f t="shared" si="123"/>
        <v>925</v>
      </c>
      <c r="W363" s="4">
        <f t="shared" si="124"/>
        <v>43020</v>
      </c>
      <c r="X363" s="5">
        <f t="shared" si="125"/>
        <v>925</v>
      </c>
    </row>
    <row r="364" spans="3:24" x14ac:dyDescent="0.35">
      <c r="C364" s="2">
        <f t="shared" si="105"/>
        <v>363</v>
      </c>
      <c r="D364" t="s">
        <v>362</v>
      </c>
      <c r="E364">
        <f t="shared" si="106"/>
        <v>31</v>
      </c>
      <c r="F364" t="str">
        <f t="shared" si="107"/>
        <v xml:space="preserve">/PR:Books___SP:Barney2017101    $686    </v>
      </c>
      <c r="G364">
        <f t="shared" si="108"/>
        <v>32</v>
      </c>
      <c r="H364" t="str">
        <f t="shared" si="109"/>
        <v>/PR:Books___SP:Barney2017101    $686</v>
      </c>
      <c r="I364">
        <f t="shared" si="110"/>
        <v>54</v>
      </c>
      <c r="J364" t="str">
        <f t="shared" si="111"/>
        <v>PR:Books___SP:Barney2017101    $686</v>
      </c>
      <c r="K364" t="str">
        <f t="shared" si="112"/>
        <v>PR:Books   SP:Barney2017101    $686</v>
      </c>
      <c r="L364" t="str">
        <f t="shared" si="113"/>
        <v>Books   SP:Barney2017101    $686</v>
      </c>
      <c r="M364" t="str">
        <f t="shared" si="114"/>
        <v>Books   Barney2017101    $686</v>
      </c>
      <c r="N364" t="str">
        <f t="shared" si="115"/>
        <v>Books Barney2017101 $686</v>
      </c>
      <c r="O364" t="str">
        <f t="shared" si="116"/>
        <v>Books Barney 2017101 $686</v>
      </c>
      <c r="P364">
        <f t="shared" si="117"/>
        <v>6</v>
      </c>
      <c r="Q364">
        <f t="shared" si="118"/>
        <v>13</v>
      </c>
      <c r="R364">
        <f t="shared" si="119"/>
        <v>21</v>
      </c>
      <c r="S364" t="str">
        <f t="shared" si="120"/>
        <v>Books</v>
      </c>
      <c r="T364" t="str">
        <f t="shared" si="121"/>
        <v>Barney</v>
      </c>
      <c r="U364" t="str">
        <f t="shared" si="122"/>
        <v>2017101</v>
      </c>
      <c r="V364" t="str">
        <f t="shared" si="123"/>
        <v>686</v>
      </c>
      <c r="W364" s="4">
        <f t="shared" si="124"/>
        <v>43009</v>
      </c>
      <c r="X364" s="5">
        <f t="shared" si="125"/>
        <v>686</v>
      </c>
    </row>
    <row r="365" spans="3:24" x14ac:dyDescent="0.35">
      <c r="C365" s="2">
        <f t="shared" si="105"/>
        <v>364</v>
      </c>
      <c r="D365" t="s">
        <v>363</v>
      </c>
      <c r="E365">
        <f t="shared" si="106"/>
        <v>29</v>
      </c>
      <c r="F365" t="str">
        <f t="shared" si="107"/>
        <v xml:space="preserve">/////PR:Clothing_____SP:David2017109     $1703   </v>
      </c>
      <c r="G365">
        <f t="shared" si="108"/>
        <v>32</v>
      </c>
      <c r="H365" t="str">
        <f t="shared" si="109"/>
        <v>/////PR:Clothing_____SP:David2017109     $1703</v>
      </c>
      <c r="I365">
        <f t="shared" si="110"/>
        <v>51</v>
      </c>
      <c r="J365" t="str">
        <f t="shared" si="111"/>
        <v>PR:Clothing_____SP:David2017109     $1703</v>
      </c>
      <c r="K365" t="str">
        <f t="shared" si="112"/>
        <v>PR:Clothing     SP:David2017109     $1703</v>
      </c>
      <c r="L365" t="str">
        <f t="shared" si="113"/>
        <v>Clothing     SP:David2017109     $1703</v>
      </c>
      <c r="M365" t="str">
        <f t="shared" si="114"/>
        <v>Clothing     David2017109     $1703</v>
      </c>
      <c r="N365" t="str">
        <f t="shared" si="115"/>
        <v>Clothing David2017109 $1703</v>
      </c>
      <c r="O365" t="str">
        <f t="shared" si="116"/>
        <v>Clothing David 2017109 $1703</v>
      </c>
      <c r="P365">
        <f t="shared" si="117"/>
        <v>9</v>
      </c>
      <c r="Q365">
        <f t="shared" si="118"/>
        <v>15</v>
      </c>
      <c r="R365">
        <f t="shared" si="119"/>
        <v>23</v>
      </c>
      <c r="S365" t="str">
        <f t="shared" si="120"/>
        <v>Clothing</v>
      </c>
      <c r="T365" t="str">
        <f t="shared" si="121"/>
        <v>David</v>
      </c>
      <c r="U365" t="str">
        <f t="shared" si="122"/>
        <v>2017109</v>
      </c>
      <c r="V365" t="str">
        <f t="shared" si="123"/>
        <v>1703</v>
      </c>
      <c r="W365" s="4">
        <f t="shared" si="124"/>
        <v>43017</v>
      </c>
      <c r="X365" s="5">
        <f t="shared" si="125"/>
        <v>1703</v>
      </c>
    </row>
    <row r="366" spans="3:24" x14ac:dyDescent="0.35">
      <c r="C366" s="2">
        <f t="shared" si="105"/>
        <v>365</v>
      </c>
      <c r="D366" t="s">
        <v>364</v>
      </c>
      <c r="E366">
        <f t="shared" si="106"/>
        <v>28</v>
      </c>
      <c r="F366" t="str">
        <f t="shared" si="107"/>
        <v xml:space="preserve">///PR:Music_SP:David20171021   $1038 </v>
      </c>
      <c r="G366">
        <f t="shared" si="108"/>
        <v>32</v>
      </c>
      <c r="H366" t="str">
        <f t="shared" si="109"/>
        <v>///PR:Music_SP:David20171021   $1038</v>
      </c>
      <c r="I366">
        <f t="shared" si="110"/>
        <v>56</v>
      </c>
      <c r="J366" t="str">
        <f t="shared" si="111"/>
        <v>PR:Music_SP:David20171021   $1038</v>
      </c>
      <c r="K366" t="str">
        <f t="shared" si="112"/>
        <v>PR:Music SP:David20171021   $1038</v>
      </c>
      <c r="L366" t="str">
        <f t="shared" si="113"/>
        <v>Music SP:David20171021   $1038</v>
      </c>
      <c r="M366" t="str">
        <f t="shared" si="114"/>
        <v>Music David20171021   $1038</v>
      </c>
      <c r="N366" t="str">
        <f t="shared" si="115"/>
        <v>Music David20171021 $1038</v>
      </c>
      <c r="O366" t="str">
        <f t="shared" si="116"/>
        <v>Music David 20171021 $1038</v>
      </c>
      <c r="P366">
        <f t="shared" si="117"/>
        <v>6</v>
      </c>
      <c r="Q366">
        <f t="shared" si="118"/>
        <v>12</v>
      </c>
      <c r="R366">
        <f t="shared" si="119"/>
        <v>21</v>
      </c>
      <c r="S366" t="str">
        <f t="shared" si="120"/>
        <v>Music</v>
      </c>
      <c r="T366" t="str">
        <f t="shared" si="121"/>
        <v>David</v>
      </c>
      <c r="U366" t="str">
        <f t="shared" si="122"/>
        <v>20171021</v>
      </c>
      <c r="V366" t="str">
        <f t="shared" si="123"/>
        <v>1038</v>
      </c>
      <c r="W366" s="4">
        <f t="shared" si="124"/>
        <v>43029</v>
      </c>
      <c r="X366" s="5">
        <f t="shared" si="125"/>
        <v>1038</v>
      </c>
    </row>
    <row r="367" spans="3:24" x14ac:dyDescent="0.35">
      <c r="C367" s="2">
        <f t="shared" si="105"/>
        <v>366</v>
      </c>
      <c r="D367" t="s">
        <v>365</v>
      </c>
      <c r="E367">
        <f t="shared" si="106"/>
        <v>31</v>
      </c>
      <c r="F367" t="str">
        <f t="shared" si="107"/>
        <v xml:space="preserve">////PR:Games__SP:David20171013 $1573    </v>
      </c>
      <c r="G367">
        <f t="shared" si="108"/>
        <v>32</v>
      </c>
      <c r="H367" t="str">
        <f t="shared" si="109"/>
        <v>////PR:Games__SP:David20171013 $1573</v>
      </c>
      <c r="I367">
        <f t="shared" si="110"/>
        <v>51</v>
      </c>
      <c r="J367" t="str">
        <f t="shared" si="111"/>
        <v>PR:Games__SP:David20171013 $1573</v>
      </c>
      <c r="K367" t="str">
        <f t="shared" si="112"/>
        <v>PR:Games  SP:David20171013 $1573</v>
      </c>
      <c r="L367" t="str">
        <f t="shared" si="113"/>
        <v>Games  SP:David20171013 $1573</v>
      </c>
      <c r="M367" t="str">
        <f t="shared" si="114"/>
        <v>Games  David20171013 $1573</v>
      </c>
      <c r="N367" t="str">
        <f t="shared" si="115"/>
        <v>Games David20171013 $1573</v>
      </c>
      <c r="O367" t="str">
        <f t="shared" si="116"/>
        <v>Games David 20171013 $1573</v>
      </c>
      <c r="P367">
        <f t="shared" si="117"/>
        <v>6</v>
      </c>
      <c r="Q367">
        <f t="shared" si="118"/>
        <v>12</v>
      </c>
      <c r="R367">
        <f t="shared" si="119"/>
        <v>21</v>
      </c>
      <c r="S367" t="str">
        <f t="shared" si="120"/>
        <v>Games</v>
      </c>
      <c r="T367" t="str">
        <f t="shared" si="121"/>
        <v>David</v>
      </c>
      <c r="U367" t="str">
        <f t="shared" si="122"/>
        <v>20171013</v>
      </c>
      <c r="V367" t="str">
        <f t="shared" si="123"/>
        <v>1573</v>
      </c>
      <c r="W367" s="4">
        <f t="shared" si="124"/>
        <v>43021</v>
      </c>
      <c r="X367" s="5">
        <f t="shared" si="125"/>
        <v>1573</v>
      </c>
    </row>
    <row r="368" spans="3:24" x14ac:dyDescent="0.35">
      <c r="C368" s="2">
        <f t="shared" si="105"/>
        <v>367</v>
      </c>
      <c r="D368" t="s">
        <v>366</v>
      </c>
      <c r="E368">
        <f t="shared" si="106"/>
        <v>31</v>
      </c>
      <c r="F368" t="str">
        <f t="shared" si="107"/>
        <v xml:space="preserve">//PR:Games____SP:Alice20171031     $1364 </v>
      </c>
      <c r="G368">
        <f t="shared" si="108"/>
        <v>32</v>
      </c>
      <c r="H368" t="str">
        <f t="shared" si="109"/>
        <v>//PR:Games____SP:Alice20171031     $1364</v>
      </c>
      <c r="I368">
        <f t="shared" si="110"/>
        <v>52</v>
      </c>
      <c r="J368" t="str">
        <f t="shared" si="111"/>
        <v>PR:Games____SP:Alice20171031     $1364</v>
      </c>
      <c r="K368" t="str">
        <f t="shared" si="112"/>
        <v>PR:Games    SP:Alice20171031     $1364</v>
      </c>
      <c r="L368" t="str">
        <f t="shared" si="113"/>
        <v>Games    SP:Alice20171031     $1364</v>
      </c>
      <c r="M368" t="str">
        <f t="shared" si="114"/>
        <v>Games    Alice20171031     $1364</v>
      </c>
      <c r="N368" t="str">
        <f t="shared" si="115"/>
        <v>Games Alice20171031 $1364</v>
      </c>
      <c r="O368" t="str">
        <f t="shared" si="116"/>
        <v>Games Alice 20171031 $1364</v>
      </c>
      <c r="P368">
        <f t="shared" si="117"/>
        <v>6</v>
      </c>
      <c r="Q368">
        <f t="shared" si="118"/>
        <v>12</v>
      </c>
      <c r="R368">
        <f t="shared" si="119"/>
        <v>21</v>
      </c>
      <c r="S368" t="str">
        <f t="shared" si="120"/>
        <v>Games</v>
      </c>
      <c r="T368" t="str">
        <f t="shared" si="121"/>
        <v>Alice</v>
      </c>
      <c r="U368" t="str">
        <f t="shared" si="122"/>
        <v>20171031</v>
      </c>
      <c r="V368" t="str">
        <f t="shared" si="123"/>
        <v>1364</v>
      </c>
      <c r="W368" s="4">
        <f t="shared" si="124"/>
        <v>43039</v>
      </c>
      <c r="X368" s="5">
        <f t="shared" si="125"/>
        <v>1364</v>
      </c>
    </row>
    <row r="369" spans="3:24" x14ac:dyDescent="0.35">
      <c r="C369" s="2">
        <f t="shared" si="105"/>
        <v>368</v>
      </c>
      <c r="D369" t="s">
        <v>367</v>
      </c>
      <c r="E369">
        <f t="shared" si="106"/>
        <v>30</v>
      </c>
      <c r="F369" t="str">
        <f t="shared" si="107"/>
        <v xml:space="preserve">/////PR:Clothing__SP:David20171015    $1281  </v>
      </c>
      <c r="G369">
        <f t="shared" si="108"/>
        <v>32</v>
      </c>
      <c r="H369" t="str">
        <f t="shared" si="109"/>
        <v>/////PR:Clothing__SP:David20171015    $1281</v>
      </c>
      <c r="I369">
        <f t="shared" si="110"/>
        <v>49</v>
      </c>
      <c r="J369" t="str">
        <f t="shared" si="111"/>
        <v>PR:Clothing__SP:David20171015    $1281</v>
      </c>
      <c r="K369" t="str">
        <f t="shared" si="112"/>
        <v>PR:Clothing  SP:David20171015    $1281</v>
      </c>
      <c r="L369" t="str">
        <f t="shared" si="113"/>
        <v>Clothing  SP:David20171015    $1281</v>
      </c>
      <c r="M369" t="str">
        <f t="shared" si="114"/>
        <v>Clothing  David20171015    $1281</v>
      </c>
      <c r="N369" t="str">
        <f t="shared" si="115"/>
        <v>Clothing David20171015 $1281</v>
      </c>
      <c r="O369" t="str">
        <f t="shared" si="116"/>
        <v>Clothing David 20171015 $1281</v>
      </c>
      <c r="P369">
        <f t="shared" si="117"/>
        <v>9</v>
      </c>
      <c r="Q369">
        <f t="shared" si="118"/>
        <v>15</v>
      </c>
      <c r="R369">
        <f t="shared" si="119"/>
        <v>24</v>
      </c>
      <c r="S369" t="str">
        <f t="shared" si="120"/>
        <v>Clothing</v>
      </c>
      <c r="T369" t="str">
        <f t="shared" si="121"/>
        <v>David</v>
      </c>
      <c r="U369" t="str">
        <f t="shared" si="122"/>
        <v>20171015</v>
      </c>
      <c r="V369" t="str">
        <f t="shared" si="123"/>
        <v>1281</v>
      </c>
      <c r="W369" s="4">
        <f t="shared" si="124"/>
        <v>43023</v>
      </c>
      <c r="X369" s="5">
        <f t="shared" si="125"/>
        <v>1281</v>
      </c>
    </row>
    <row r="370" spans="3:24" x14ac:dyDescent="0.35">
      <c r="C370" s="2">
        <f t="shared" si="105"/>
        <v>369</v>
      </c>
      <c r="D370" t="s">
        <v>368</v>
      </c>
      <c r="E370">
        <f t="shared" si="106"/>
        <v>29</v>
      </c>
      <c r="F370" t="str">
        <f t="shared" si="107"/>
        <v xml:space="preserve">//PR:Books_____SP:David20171022     $996 </v>
      </c>
      <c r="G370">
        <f t="shared" si="108"/>
        <v>32</v>
      </c>
      <c r="H370" t="str">
        <f t="shared" si="109"/>
        <v>//PR:Books_____SP:David20171022     $996</v>
      </c>
      <c r="I370">
        <f t="shared" si="110"/>
        <v>54</v>
      </c>
      <c r="J370" t="str">
        <f t="shared" si="111"/>
        <v>PR:Books_____SP:David20171022     $996</v>
      </c>
      <c r="K370" t="str">
        <f t="shared" si="112"/>
        <v>PR:Books     SP:David20171022     $996</v>
      </c>
      <c r="L370" t="str">
        <f t="shared" si="113"/>
        <v>Books     SP:David20171022     $996</v>
      </c>
      <c r="M370" t="str">
        <f t="shared" si="114"/>
        <v>Books     David20171022     $996</v>
      </c>
      <c r="N370" t="str">
        <f t="shared" si="115"/>
        <v>Books David20171022 $996</v>
      </c>
      <c r="O370" t="str">
        <f t="shared" si="116"/>
        <v>Books David 20171022 $996</v>
      </c>
      <c r="P370">
        <f t="shared" si="117"/>
        <v>6</v>
      </c>
      <c r="Q370">
        <f t="shared" si="118"/>
        <v>12</v>
      </c>
      <c r="R370">
        <f t="shared" si="119"/>
        <v>21</v>
      </c>
      <c r="S370" t="str">
        <f t="shared" si="120"/>
        <v>Books</v>
      </c>
      <c r="T370" t="str">
        <f t="shared" si="121"/>
        <v>David</v>
      </c>
      <c r="U370" t="str">
        <f t="shared" si="122"/>
        <v>20171022</v>
      </c>
      <c r="V370" t="str">
        <f t="shared" si="123"/>
        <v>996</v>
      </c>
      <c r="W370" s="4">
        <f t="shared" si="124"/>
        <v>43030</v>
      </c>
      <c r="X370" s="5">
        <f t="shared" si="125"/>
        <v>996</v>
      </c>
    </row>
    <row r="371" spans="3:24" x14ac:dyDescent="0.35">
      <c r="C371" s="2">
        <f t="shared" si="105"/>
        <v>370</v>
      </c>
      <c r="D371" t="s">
        <v>369</v>
      </c>
      <c r="E371">
        <f t="shared" si="106"/>
        <v>29</v>
      </c>
      <c r="F371" t="str">
        <f t="shared" si="107"/>
        <v xml:space="preserve">////PR:Music____SP:Alice2017108   $0    </v>
      </c>
      <c r="G371">
        <f t="shared" si="108"/>
        <v>32</v>
      </c>
      <c r="H371" t="str">
        <f t="shared" si="109"/>
        <v>////PR:Music____SP:Alice2017108   $0</v>
      </c>
      <c r="I371">
        <f t="shared" si="110"/>
        <v>48</v>
      </c>
      <c r="J371" t="str">
        <f t="shared" si="111"/>
        <v>PR:Music____SP:Alice2017108   $0</v>
      </c>
      <c r="K371" t="str">
        <f t="shared" si="112"/>
        <v>PR:Music    SP:Alice2017108   $0</v>
      </c>
      <c r="L371" t="str">
        <f t="shared" si="113"/>
        <v>Music    SP:Alice2017108   $0</v>
      </c>
      <c r="M371" t="str">
        <f t="shared" si="114"/>
        <v>Music    Alice2017108   $0</v>
      </c>
      <c r="N371" t="str">
        <f t="shared" si="115"/>
        <v>Music Alice2017108 $0</v>
      </c>
      <c r="O371" t="str">
        <f t="shared" si="116"/>
        <v>Music Alice 2017108 $0</v>
      </c>
      <c r="P371">
        <f t="shared" si="117"/>
        <v>6</v>
      </c>
      <c r="Q371">
        <f t="shared" si="118"/>
        <v>12</v>
      </c>
      <c r="R371">
        <f t="shared" si="119"/>
        <v>20</v>
      </c>
      <c r="S371" t="str">
        <f t="shared" si="120"/>
        <v>Music</v>
      </c>
      <c r="T371" t="str">
        <f t="shared" si="121"/>
        <v>Alice</v>
      </c>
      <c r="U371" t="str">
        <f t="shared" si="122"/>
        <v>2017108</v>
      </c>
      <c r="V371" t="str">
        <f t="shared" si="123"/>
        <v>0</v>
      </c>
      <c r="W371" s="4">
        <f t="shared" si="124"/>
        <v>43016</v>
      </c>
      <c r="X371" s="5">
        <f t="shared" si="125"/>
        <v>0</v>
      </c>
    </row>
    <row r="372" spans="3:24" x14ac:dyDescent="0.35">
      <c r="C372" s="2">
        <f t="shared" si="105"/>
        <v>371</v>
      </c>
      <c r="D372" t="s">
        <v>370</v>
      </c>
      <c r="E372">
        <f t="shared" si="106"/>
        <v>28</v>
      </c>
      <c r="F372" t="str">
        <f t="shared" si="107"/>
        <v xml:space="preserve">/PR:Books_____SP:Carol20171027   $528  </v>
      </c>
      <c r="G372">
        <f t="shared" si="108"/>
        <v>32</v>
      </c>
      <c r="H372" t="str">
        <f t="shared" si="109"/>
        <v>/PR:Books_____SP:Carol20171027   $528</v>
      </c>
      <c r="I372">
        <f t="shared" si="110"/>
        <v>56</v>
      </c>
      <c r="J372" t="str">
        <f t="shared" si="111"/>
        <v>PR:Books_____SP:Carol20171027   $528</v>
      </c>
      <c r="K372" t="str">
        <f t="shared" si="112"/>
        <v>PR:Books     SP:Carol20171027   $528</v>
      </c>
      <c r="L372" t="str">
        <f t="shared" si="113"/>
        <v>Books     SP:Carol20171027   $528</v>
      </c>
      <c r="M372" t="str">
        <f t="shared" si="114"/>
        <v>Books     Carol20171027   $528</v>
      </c>
      <c r="N372" t="str">
        <f t="shared" si="115"/>
        <v>Books Carol20171027 $528</v>
      </c>
      <c r="O372" t="str">
        <f t="shared" si="116"/>
        <v>Books Carol 20171027 $528</v>
      </c>
      <c r="P372">
        <f t="shared" si="117"/>
        <v>6</v>
      </c>
      <c r="Q372">
        <f t="shared" si="118"/>
        <v>12</v>
      </c>
      <c r="R372">
        <f t="shared" si="119"/>
        <v>21</v>
      </c>
      <c r="S372" t="str">
        <f t="shared" si="120"/>
        <v>Books</v>
      </c>
      <c r="T372" t="str">
        <f t="shared" si="121"/>
        <v>Carol</v>
      </c>
      <c r="U372" t="str">
        <f t="shared" si="122"/>
        <v>20171027</v>
      </c>
      <c r="V372" t="str">
        <f t="shared" si="123"/>
        <v>528</v>
      </c>
      <c r="W372" s="4">
        <f t="shared" si="124"/>
        <v>43035</v>
      </c>
      <c r="X372" s="5">
        <f t="shared" si="125"/>
        <v>528</v>
      </c>
    </row>
    <row r="373" spans="3:24" x14ac:dyDescent="0.35">
      <c r="C373" s="2">
        <f t="shared" si="105"/>
        <v>372</v>
      </c>
      <c r="D373" t="s">
        <v>371</v>
      </c>
      <c r="E373">
        <f t="shared" si="106"/>
        <v>30</v>
      </c>
      <c r="F373" t="str">
        <f t="shared" si="107"/>
        <v xml:space="preserve">///PR:Books_SP:Barney20171012    $789     </v>
      </c>
      <c r="G373">
        <f t="shared" si="108"/>
        <v>32</v>
      </c>
      <c r="H373" t="str">
        <f t="shared" si="109"/>
        <v>///PR:Books_SP:Barney20171012    $789</v>
      </c>
      <c r="I373">
        <f t="shared" si="110"/>
        <v>57</v>
      </c>
      <c r="J373" t="str">
        <f t="shared" si="111"/>
        <v>PR:Books_SP:Barney20171012    $789</v>
      </c>
      <c r="K373" t="str">
        <f t="shared" si="112"/>
        <v>PR:Books SP:Barney20171012    $789</v>
      </c>
      <c r="L373" t="str">
        <f t="shared" si="113"/>
        <v>Books SP:Barney20171012    $789</v>
      </c>
      <c r="M373" t="str">
        <f t="shared" si="114"/>
        <v>Books Barney20171012    $789</v>
      </c>
      <c r="N373" t="str">
        <f t="shared" si="115"/>
        <v>Books Barney20171012 $789</v>
      </c>
      <c r="O373" t="str">
        <f t="shared" si="116"/>
        <v>Books Barney 20171012 $789</v>
      </c>
      <c r="P373">
        <f t="shared" si="117"/>
        <v>6</v>
      </c>
      <c r="Q373">
        <f t="shared" si="118"/>
        <v>13</v>
      </c>
      <c r="R373">
        <f t="shared" si="119"/>
        <v>22</v>
      </c>
      <c r="S373" t="str">
        <f t="shared" si="120"/>
        <v>Books</v>
      </c>
      <c r="T373" t="str">
        <f t="shared" si="121"/>
        <v>Barney</v>
      </c>
      <c r="U373" t="str">
        <f t="shared" si="122"/>
        <v>20171012</v>
      </c>
      <c r="V373" t="str">
        <f t="shared" si="123"/>
        <v>789</v>
      </c>
      <c r="W373" s="4">
        <f t="shared" si="124"/>
        <v>43020</v>
      </c>
      <c r="X373" s="5">
        <f t="shared" si="125"/>
        <v>789</v>
      </c>
    </row>
    <row r="374" spans="3:24" x14ac:dyDescent="0.35">
      <c r="C374" s="2">
        <f t="shared" si="105"/>
        <v>373</v>
      </c>
      <c r="D374" t="s">
        <v>372</v>
      </c>
      <c r="E374">
        <f t="shared" si="106"/>
        <v>28</v>
      </c>
      <c r="F374" t="str">
        <f t="shared" si="107"/>
        <v xml:space="preserve">////PR:Games_SP:Alice2017103     $0 </v>
      </c>
      <c r="G374">
        <f t="shared" si="108"/>
        <v>32</v>
      </c>
      <c r="H374" t="str">
        <f t="shared" si="109"/>
        <v>////PR:Games_SP:Alice2017103     $0</v>
      </c>
      <c r="I374">
        <f t="shared" si="110"/>
        <v>48</v>
      </c>
      <c r="J374" t="str">
        <f t="shared" si="111"/>
        <v>PR:Games_SP:Alice2017103     $0</v>
      </c>
      <c r="K374" t="str">
        <f t="shared" si="112"/>
        <v>PR:Games SP:Alice2017103     $0</v>
      </c>
      <c r="L374" t="str">
        <f t="shared" si="113"/>
        <v>Games SP:Alice2017103     $0</v>
      </c>
      <c r="M374" t="str">
        <f t="shared" si="114"/>
        <v>Games Alice2017103     $0</v>
      </c>
      <c r="N374" t="str">
        <f t="shared" si="115"/>
        <v>Games Alice2017103 $0</v>
      </c>
      <c r="O374" t="str">
        <f t="shared" si="116"/>
        <v>Games Alice 2017103 $0</v>
      </c>
      <c r="P374">
        <f t="shared" si="117"/>
        <v>6</v>
      </c>
      <c r="Q374">
        <f t="shared" si="118"/>
        <v>12</v>
      </c>
      <c r="R374">
        <f t="shared" si="119"/>
        <v>20</v>
      </c>
      <c r="S374" t="str">
        <f t="shared" si="120"/>
        <v>Games</v>
      </c>
      <c r="T374" t="str">
        <f t="shared" si="121"/>
        <v>Alice</v>
      </c>
      <c r="U374" t="str">
        <f t="shared" si="122"/>
        <v>2017103</v>
      </c>
      <c r="V374" t="str">
        <f t="shared" si="123"/>
        <v>0</v>
      </c>
      <c r="W374" s="4">
        <f t="shared" si="124"/>
        <v>43011</v>
      </c>
      <c r="X374" s="5">
        <f t="shared" si="125"/>
        <v>0</v>
      </c>
    </row>
    <row r="375" spans="3:24" x14ac:dyDescent="0.35">
      <c r="C375" s="2">
        <f t="shared" si="105"/>
        <v>374</v>
      </c>
      <c r="D375" t="s">
        <v>373</v>
      </c>
      <c r="E375">
        <f t="shared" si="106"/>
        <v>31</v>
      </c>
      <c r="F375" t="str">
        <f t="shared" si="107"/>
        <v xml:space="preserve">//PR:Music_____SP:David20171011     $1306  </v>
      </c>
      <c r="G375">
        <f t="shared" si="108"/>
        <v>32</v>
      </c>
      <c r="H375" t="str">
        <f t="shared" si="109"/>
        <v>//PR:Music_____SP:David20171011     $1306</v>
      </c>
      <c r="I375">
        <f t="shared" si="110"/>
        <v>54</v>
      </c>
      <c r="J375" t="str">
        <f t="shared" si="111"/>
        <v>PR:Music_____SP:David20171011     $1306</v>
      </c>
      <c r="K375" t="str">
        <f t="shared" si="112"/>
        <v>PR:Music     SP:David20171011     $1306</v>
      </c>
      <c r="L375" t="str">
        <f t="shared" si="113"/>
        <v>Music     SP:David20171011     $1306</v>
      </c>
      <c r="M375" t="str">
        <f t="shared" si="114"/>
        <v>Music     David20171011     $1306</v>
      </c>
      <c r="N375" t="str">
        <f t="shared" si="115"/>
        <v>Music David20171011 $1306</v>
      </c>
      <c r="O375" t="str">
        <f t="shared" si="116"/>
        <v>Music David 20171011 $1306</v>
      </c>
      <c r="P375">
        <f t="shared" si="117"/>
        <v>6</v>
      </c>
      <c r="Q375">
        <f t="shared" si="118"/>
        <v>12</v>
      </c>
      <c r="R375">
        <f t="shared" si="119"/>
        <v>21</v>
      </c>
      <c r="S375" t="str">
        <f t="shared" si="120"/>
        <v>Music</v>
      </c>
      <c r="T375" t="str">
        <f t="shared" si="121"/>
        <v>David</v>
      </c>
      <c r="U375" t="str">
        <f t="shared" si="122"/>
        <v>20171011</v>
      </c>
      <c r="V375" t="str">
        <f t="shared" si="123"/>
        <v>1306</v>
      </c>
      <c r="W375" s="4">
        <f t="shared" si="124"/>
        <v>43019</v>
      </c>
      <c r="X375" s="5">
        <f t="shared" si="125"/>
        <v>1306</v>
      </c>
    </row>
    <row r="376" spans="3:24" x14ac:dyDescent="0.35">
      <c r="C376" s="2">
        <f t="shared" si="105"/>
        <v>375</v>
      </c>
      <c r="D376" t="s">
        <v>374</v>
      </c>
      <c r="E376">
        <f t="shared" si="106"/>
        <v>29</v>
      </c>
      <c r="F376" t="str">
        <f t="shared" si="107"/>
        <v xml:space="preserve">//PR:Clothing__SP:David20171031     $1389  </v>
      </c>
      <c r="G376">
        <f t="shared" si="108"/>
        <v>32</v>
      </c>
      <c r="H376" t="str">
        <f t="shared" si="109"/>
        <v>//PR:Clothing__SP:David20171031     $1389</v>
      </c>
      <c r="I376">
        <f t="shared" si="110"/>
        <v>57</v>
      </c>
      <c r="J376" t="str">
        <f t="shared" si="111"/>
        <v>PR:Clothing__SP:David20171031     $1389</v>
      </c>
      <c r="K376" t="str">
        <f t="shared" si="112"/>
        <v>PR:Clothing  SP:David20171031     $1389</v>
      </c>
      <c r="L376" t="str">
        <f t="shared" si="113"/>
        <v>Clothing  SP:David20171031     $1389</v>
      </c>
      <c r="M376" t="str">
        <f t="shared" si="114"/>
        <v>Clothing  David20171031     $1389</v>
      </c>
      <c r="N376" t="str">
        <f t="shared" si="115"/>
        <v>Clothing David20171031 $1389</v>
      </c>
      <c r="O376" t="str">
        <f t="shared" si="116"/>
        <v>Clothing David 20171031 $1389</v>
      </c>
      <c r="P376">
        <f t="shared" si="117"/>
        <v>9</v>
      </c>
      <c r="Q376">
        <f t="shared" si="118"/>
        <v>15</v>
      </c>
      <c r="R376">
        <f t="shared" si="119"/>
        <v>24</v>
      </c>
      <c r="S376" t="str">
        <f t="shared" si="120"/>
        <v>Clothing</v>
      </c>
      <c r="T376" t="str">
        <f t="shared" si="121"/>
        <v>David</v>
      </c>
      <c r="U376" t="str">
        <f t="shared" si="122"/>
        <v>20171031</v>
      </c>
      <c r="V376" t="str">
        <f t="shared" si="123"/>
        <v>1389</v>
      </c>
      <c r="W376" s="4">
        <f t="shared" si="124"/>
        <v>43039</v>
      </c>
      <c r="X376" s="5">
        <f t="shared" si="125"/>
        <v>1389</v>
      </c>
    </row>
    <row r="377" spans="3:24" x14ac:dyDescent="0.35">
      <c r="C377" s="2">
        <f t="shared" si="105"/>
        <v>376</v>
      </c>
      <c r="D377" t="s">
        <v>375</v>
      </c>
      <c r="E377">
        <f t="shared" si="106"/>
        <v>29</v>
      </c>
      <c r="F377" t="str">
        <f t="shared" si="107"/>
        <v xml:space="preserve">/////PR:Clothing_SP:Alice20171029    $1950  </v>
      </c>
      <c r="G377">
        <f t="shared" si="108"/>
        <v>32</v>
      </c>
      <c r="H377" t="str">
        <f t="shared" si="109"/>
        <v>/////PR:Clothing_SP:Alice20171029    $1950</v>
      </c>
      <c r="I377">
        <f t="shared" si="110"/>
        <v>48</v>
      </c>
      <c r="J377" t="str">
        <f t="shared" si="111"/>
        <v>PR:Clothing_SP:Alice20171029    $1950</v>
      </c>
      <c r="K377" t="str">
        <f t="shared" si="112"/>
        <v>PR:Clothing SP:Alice20171029    $1950</v>
      </c>
      <c r="L377" t="str">
        <f t="shared" si="113"/>
        <v>Clothing SP:Alice20171029    $1950</v>
      </c>
      <c r="M377" t="str">
        <f t="shared" si="114"/>
        <v>Clothing Alice20171029    $1950</v>
      </c>
      <c r="N377" t="str">
        <f t="shared" si="115"/>
        <v>Clothing Alice20171029 $1950</v>
      </c>
      <c r="O377" t="str">
        <f t="shared" si="116"/>
        <v>Clothing Alice 20171029 $1950</v>
      </c>
      <c r="P377">
        <f t="shared" si="117"/>
        <v>9</v>
      </c>
      <c r="Q377">
        <f t="shared" si="118"/>
        <v>15</v>
      </c>
      <c r="R377">
        <f t="shared" si="119"/>
        <v>24</v>
      </c>
      <c r="S377" t="str">
        <f t="shared" si="120"/>
        <v>Clothing</v>
      </c>
      <c r="T377" t="str">
        <f t="shared" si="121"/>
        <v>Alice</v>
      </c>
      <c r="U377" t="str">
        <f t="shared" si="122"/>
        <v>20171029</v>
      </c>
      <c r="V377" t="str">
        <f t="shared" si="123"/>
        <v>1950</v>
      </c>
      <c r="W377" s="4">
        <f t="shared" si="124"/>
        <v>43037</v>
      </c>
      <c r="X377" s="5">
        <f t="shared" si="125"/>
        <v>1950</v>
      </c>
    </row>
    <row r="378" spans="3:24" x14ac:dyDescent="0.35">
      <c r="C378" s="2">
        <f t="shared" si="105"/>
        <v>377</v>
      </c>
      <c r="D378" t="s">
        <v>376</v>
      </c>
      <c r="E378">
        <f t="shared" si="106"/>
        <v>30</v>
      </c>
      <c r="F378" t="str">
        <f t="shared" si="107"/>
        <v xml:space="preserve">///PR:Books_____SP:Alice20171016   $735 </v>
      </c>
      <c r="G378">
        <f t="shared" si="108"/>
        <v>32</v>
      </c>
      <c r="H378" t="str">
        <f t="shared" si="109"/>
        <v>///PR:Books_____SP:Alice20171016   $735</v>
      </c>
      <c r="I378">
        <f t="shared" si="110"/>
        <v>53</v>
      </c>
      <c r="J378" t="str">
        <f t="shared" si="111"/>
        <v>PR:Books_____SP:Alice20171016   $735</v>
      </c>
      <c r="K378" t="str">
        <f t="shared" si="112"/>
        <v>PR:Books     SP:Alice20171016   $735</v>
      </c>
      <c r="L378" t="str">
        <f t="shared" si="113"/>
        <v>Books     SP:Alice20171016   $735</v>
      </c>
      <c r="M378" t="str">
        <f t="shared" si="114"/>
        <v>Books     Alice20171016   $735</v>
      </c>
      <c r="N378" t="str">
        <f t="shared" si="115"/>
        <v>Books Alice20171016 $735</v>
      </c>
      <c r="O378" t="str">
        <f t="shared" si="116"/>
        <v>Books Alice 20171016 $735</v>
      </c>
      <c r="P378">
        <f t="shared" si="117"/>
        <v>6</v>
      </c>
      <c r="Q378">
        <f t="shared" si="118"/>
        <v>12</v>
      </c>
      <c r="R378">
        <f t="shared" si="119"/>
        <v>21</v>
      </c>
      <c r="S378" t="str">
        <f t="shared" si="120"/>
        <v>Books</v>
      </c>
      <c r="T378" t="str">
        <f t="shared" si="121"/>
        <v>Alice</v>
      </c>
      <c r="U378" t="str">
        <f t="shared" si="122"/>
        <v>20171016</v>
      </c>
      <c r="V378" t="str">
        <f t="shared" si="123"/>
        <v>735</v>
      </c>
      <c r="W378" s="4">
        <f t="shared" si="124"/>
        <v>43024</v>
      </c>
      <c r="X378" s="5">
        <f t="shared" si="125"/>
        <v>735</v>
      </c>
    </row>
    <row r="379" spans="3:24" x14ac:dyDescent="0.35">
      <c r="C379" s="2">
        <f t="shared" si="105"/>
        <v>378</v>
      </c>
      <c r="D379" t="s">
        <v>377</v>
      </c>
      <c r="E379">
        <f t="shared" si="106"/>
        <v>30</v>
      </c>
      <c r="F379" t="str">
        <f t="shared" si="107"/>
        <v xml:space="preserve">///PR:Music____SP:Carol2017109  $1368  </v>
      </c>
      <c r="G379">
        <f t="shared" si="108"/>
        <v>32</v>
      </c>
      <c r="H379" t="str">
        <f t="shared" si="109"/>
        <v>///PR:Music____SP:Carol2017109  $1368</v>
      </c>
      <c r="I379">
        <f t="shared" si="110"/>
        <v>56</v>
      </c>
      <c r="J379" t="str">
        <f t="shared" si="111"/>
        <v>PR:Music____SP:Carol2017109  $1368</v>
      </c>
      <c r="K379" t="str">
        <f t="shared" si="112"/>
        <v>PR:Music    SP:Carol2017109  $1368</v>
      </c>
      <c r="L379" t="str">
        <f t="shared" si="113"/>
        <v>Music    SP:Carol2017109  $1368</v>
      </c>
      <c r="M379" t="str">
        <f t="shared" si="114"/>
        <v>Music    Carol2017109  $1368</v>
      </c>
      <c r="N379" t="str">
        <f t="shared" si="115"/>
        <v>Music Carol2017109 $1368</v>
      </c>
      <c r="O379" t="str">
        <f t="shared" si="116"/>
        <v>Music Carol 2017109 $1368</v>
      </c>
      <c r="P379">
        <f t="shared" si="117"/>
        <v>6</v>
      </c>
      <c r="Q379">
        <f t="shared" si="118"/>
        <v>12</v>
      </c>
      <c r="R379">
        <f t="shared" si="119"/>
        <v>20</v>
      </c>
      <c r="S379" t="str">
        <f t="shared" si="120"/>
        <v>Music</v>
      </c>
      <c r="T379" t="str">
        <f t="shared" si="121"/>
        <v>Carol</v>
      </c>
      <c r="U379" t="str">
        <f t="shared" si="122"/>
        <v>2017109</v>
      </c>
      <c r="V379" t="str">
        <f t="shared" si="123"/>
        <v>1368</v>
      </c>
      <c r="W379" s="4">
        <f t="shared" si="124"/>
        <v>43017</v>
      </c>
      <c r="X379" s="5">
        <f t="shared" si="125"/>
        <v>1368</v>
      </c>
    </row>
    <row r="380" spans="3:24" x14ac:dyDescent="0.35">
      <c r="C380" s="2">
        <f t="shared" si="105"/>
        <v>379</v>
      </c>
      <c r="D380" t="s">
        <v>378</v>
      </c>
      <c r="E380">
        <f t="shared" si="106"/>
        <v>31</v>
      </c>
      <c r="F380" t="str">
        <f t="shared" si="107"/>
        <v xml:space="preserve">//PR:Clothing_____SP:Alice20171010  $1069 </v>
      </c>
      <c r="G380">
        <f t="shared" si="108"/>
        <v>32</v>
      </c>
      <c r="H380" t="str">
        <f t="shared" si="109"/>
        <v>//PR:Clothing_____SP:Alice20171010  $1069</v>
      </c>
      <c r="I380">
        <f t="shared" si="110"/>
        <v>57</v>
      </c>
      <c r="J380" t="str">
        <f t="shared" si="111"/>
        <v>PR:Clothing_____SP:Alice20171010  $1069</v>
      </c>
      <c r="K380" t="str">
        <f t="shared" si="112"/>
        <v>PR:Clothing     SP:Alice20171010  $1069</v>
      </c>
      <c r="L380" t="str">
        <f t="shared" si="113"/>
        <v>Clothing     SP:Alice20171010  $1069</v>
      </c>
      <c r="M380" t="str">
        <f t="shared" si="114"/>
        <v>Clothing     Alice20171010  $1069</v>
      </c>
      <c r="N380" t="str">
        <f t="shared" si="115"/>
        <v>Clothing Alice20171010 $1069</v>
      </c>
      <c r="O380" t="str">
        <f t="shared" si="116"/>
        <v>Clothing Alice 20171010 $1069</v>
      </c>
      <c r="P380">
        <f t="shared" si="117"/>
        <v>9</v>
      </c>
      <c r="Q380">
        <f t="shared" si="118"/>
        <v>15</v>
      </c>
      <c r="R380">
        <f t="shared" si="119"/>
        <v>24</v>
      </c>
      <c r="S380" t="str">
        <f t="shared" si="120"/>
        <v>Clothing</v>
      </c>
      <c r="T380" t="str">
        <f t="shared" si="121"/>
        <v>Alice</v>
      </c>
      <c r="U380" t="str">
        <f t="shared" si="122"/>
        <v>20171010</v>
      </c>
      <c r="V380" t="str">
        <f t="shared" si="123"/>
        <v>1069</v>
      </c>
      <c r="W380" s="4">
        <f t="shared" si="124"/>
        <v>43018</v>
      </c>
      <c r="X380" s="5">
        <f t="shared" si="125"/>
        <v>1069</v>
      </c>
    </row>
    <row r="381" spans="3:24" x14ac:dyDescent="0.35">
      <c r="C381" s="2">
        <f t="shared" si="105"/>
        <v>380</v>
      </c>
      <c r="D381" t="s">
        <v>379</v>
      </c>
      <c r="E381">
        <f t="shared" si="106"/>
        <v>29</v>
      </c>
      <c r="F381" t="str">
        <f t="shared" si="107"/>
        <v xml:space="preserve">/////PR:Games_____SP:Barney2017101    $1477  </v>
      </c>
      <c r="G381">
        <f t="shared" si="108"/>
        <v>32</v>
      </c>
      <c r="H381" t="str">
        <f t="shared" si="109"/>
        <v>/////PR:Games_____SP:Barney2017101    $1477</v>
      </c>
      <c r="I381">
        <f t="shared" si="110"/>
        <v>55</v>
      </c>
      <c r="J381" t="str">
        <f t="shared" si="111"/>
        <v>PR:Games_____SP:Barney2017101    $1477</v>
      </c>
      <c r="K381" t="str">
        <f t="shared" si="112"/>
        <v>PR:Games     SP:Barney2017101    $1477</v>
      </c>
      <c r="L381" t="str">
        <f t="shared" si="113"/>
        <v>Games     SP:Barney2017101    $1477</v>
      </c>
      <c r="M381" t="str">
        <f t="shared" si="114"/>
        <v>Games     Barney2017101    $1477</v>
      </c>
      <c r="N381" t="str">
        <f t="shared" si="115"/>
        <v>Games Barney2017101 $1477</v>
      </c>
      <c r="O381" t="str">
        <f t="shared" si="116"/>
        <v>Games Barney 2017101 $1477</v>
      </c>
      <c r="P381">
        <f t="shared" si="117"/>
        <v>6</v>
      </c>
      <c r="Q381">
        <f t="shared" si="118"/>
        <v>13</v>
      </c>
      <c r="R381">
        <f t="shared" si="119"/>
        <v>21</v>
      </c>
      <c r="S381" t="str">
        <f t="shared" si="120"/>
        <v>Games</v>
      </c>
      <c r="T381" t="str">
        <f t="shared" si="121"/>
        <v>Barney</v>
      </c>
      <c r="U381" t="str">
        <f t="shared" si="122"/>
        <v>2017101</v>
      </c>
      <c r="V381" t="str">
        <f t="shared" si="123"/>
        <v>1477</v>
      </c>
      <c r="W381" s="4">
        <f t="shared" si="124"/>
        <v>43009</v>
      </c>
      <c r="X381" s="5">
        <f t="shared" si="125"/>
        <v>1477</v>
      </c>
    </row>
    <row r="382" spans="3:24" x14ac:dyDescent="0.35">
      <c r="C382" s="2">
        <f t="shared" si="105"/>
        <v>381</v>
      </c>
      <c r="D382" t="s">
        <v>380</v>
      </c>
      <c r="E382">
        <f t="shared" si="106"/>
        <v>30</v>
      </c>
      <c r="F382" t="str">
        <f t="shared" si="107"/>
        <v xml:space="preserve">////PR:Books___SP:Barney20171018 $669  </v>
      </c>
      <c r="G382">
        <f t="shared" si="108"/>
        <v>32</v>
      </c>
      <c r="H382" t="str">
        <f t="shared" si="109"/>
        <v>////PR:Books___SP:Barney20171018 $669</v>
      </c>
      <c r="I382">
        <f t="shared" si="110"/>
        <v>57</v>
      </c>
      <c r="J382" t="str">
        <f t="shared" si="111"/>
        <v>PR:Books___SP:Barney20171018 $669</v>
      </c>
      <c r="K382" t="str">
        <f t="shared" si="112"/>
        <v>PR:Books   SP:Barney20171018 $669</v>
      </c>
      <c r="L382" t="str">
        <f t="shared" si="113"/>
        <v>Books   SP:Barney20171018 $669</v>
      </c>
      <c r="M382" t="str">
        <f t="shared" si="114"/>
        <v>Books   Barney20171018 $669</v>
      </c>
      <c r="N382" t="str">
        <f t="shared" si="115"/>
        <v>Books Barney20171018 $669</v>
      </c>
      <c r="O382" t="str">
        <f t="shared" si="116"/>
        <v>Books Barney 20171018 $669</v>
      </c>
      <c r="P382">
        <f t="shared" si="117"/>
        <v>6</v>
      </c>
      <c r="Q382">
        <f t="shared" si="118"/>
        <v>13</v>
      </c>
      <c r="R382">
        <f t="shared" si="119"/>
        <v>22</v>
      </c>
      <c r="S382" t="str">
        <f t="shared" si="120"/>
        <v>Books</v>
      </c>
      <c r="T382" t="str">
        <f t="shared" si="121"/>
        <v>Barney</v>
      </c>
      <c r="U382" t="str">
        <f t="shared" si="122"/>
        <v>20171018</v>
      </c>
      <c r="V382" t="str">
        <f t="shared" si="123"/>
        <v>669</v>
      </c>
      <c r="W382" s="4">
        <f t="shared" si="124"/>
        <v>43026</v>
      </c>
      <c r="X382" s="5">
        <f t="shared" si="125"/>
        <v>669</v>
      </c>
    </row>
    <row r="383" spans="3:24" x14ac:dyDescent="0.35">
      <c r="C383" s="2">
        <f t="shared" si="105"/>
        <v>382</v>
      </c>
      <c r="D383" t="s">
        <v>381</v>
      </c>
      <c r="E383">
        <f t="shared" si="106"/>
        <v>29</v>
      </c>
      <c r="F383" t="str">
        <f t="shared" si="107"/>
        <v xml:space="preserve">///PR:Games_SP:Carol20171023  $2447    </v>
      </c>
      <c r="G383">
        <f t="shared" si="108"/>
        <v>32</v>
      </c>
      <c r="H383" t="str">
        <f t="shared" si="109"/>
        <v>///PR:Games_SP:Carol20171023  $2447</v>
      </c>
      <c r="I383">
        <f t="shared" si="110"/>
        <v>55</v>
      </c>
      <c r="J383" t="str">
        <f t="shared" si="111"/>
        <v>PR:Games_SP:Carol20171023  $2447</v>
      </c>
      <c r="K383" t="str">
        <f t="shared" si="112"/>
        <v>PR:Games SP:Carol20171023  $2447</v>
      </c>
      <c r="L383" t="str">
        <f t="shared" si="113"/>
        <v>Games SP:Carol20171023  $2447</v>
      </c>
      <c r="M383" t="str">
        <f t="shared" si="114"/>
        <v>Games Carol20171023  $2447</v>
      </c>
      <c r="N383" t="str">
        <f t="shared" si="115"/>
        <v>Games Carol20171023 $2447</v>
      </c>
      <c r="O383" t="str">
        <f t="shared" si="116"/>
        <v>Games Carol 20171023 $2447</v>
      </c>
      <c r="P383">
        <f t="shared" si="117"/>
        <v>6</v>
      </c>
      <c r="Q383">
        <f t="shared" si="118"/>
        <v>12</v>
      </c>
      <c r="R383">
        <f t="shared" si="119"/>
        <v>21</v>
      </c>
      <c r="S383" t="str">
        <f t="shared" si="120"/>
        <v>Games</v>
      </c>
      <c r="T383" t="str">
        <f t="shared" si="121"/>
        <v>Carol</v>
      </c>
      <c r="U383" t="str">
        <f t="shared" si="122"/>
        <v>20171023</v>
      </c>
      <c r="V383" t="str">
        <f t="shared" si="123"/>
        <v>2447</v>
      </c>
      <c r="W383" s="4">
        <f t="shared" si="124"/>
        <v>43031</v>
      </c>
      <c r="X383" s="5">
        <f t="shared" si="125"/>
        <v>2447</v>
      </c>
    </row>
    <row r="384" spans="3:24" x14ac:dyDescent="0.35">
      <c r="C384" s="2">
        <f t="shared" si="105"/>
        <v>383</v>
      </c>
      <c r="D384" t="s">
        <v>382</v>
      </c>
      <c r="E384">
        <f t="shared" si="106"/>
        <v>31</v>
      </c>
      <c r="F384" t="str">
        <f t="shared" si="107"/>
        <v xml:space="preserve">/PR:Books___SP:David20171014  $0     </v>
      </c>
      <c r="G384">
        <f t="shared" si="108"/>
        <v>32</v>
      </c>
      <c r="H384" t="str">
        <f t="shared" si="109"/>
        <v>/PR:Books___SP:David20171014  $0</v>
      </c>
      <c r="I384">
        <f t="shared" si="110"/>
        <v>48</v>
      </c>
      <c r="J384" t="str">
        <f t="shared" si="111"/>
        <v>PR:Books___SP:David20171014  $0</v>
      </c>
      <c r="K384" t="str">
        <f t="shared" si="112"/>
        <v>PR:Books   SP:David20171014  $0</v>
      </c>
      <c r="L384" t="str">
        <f t="shared" si="113"/>
        <v>Books   SP:David20171014  $0</v>
      </c>
      <c r="M384" t="str">
        <f t="shared" si="114"/>
        <v>Books   David20171014  $0</v>
      </c>
      <c r="N384" t="str">
        <f t="shared" si="115"/>
        <v>Books David20171014 $0</v>
      </c>
      <c r="O384" t="str">
        <f t="shared" si="116"/>
        <v>Books David 20171014 $0</v>
      </c>
      <c r="P384">
        <f t="shared" si="117"/>
        <v>6</v>
      </c>
      <c r="Q384">
        <f t="shared" si="118"/>
        <v>12</v>
      </c>
      <c r="R384">
        <f t="shared" si="119"/>
        <v>21</v>
      </c>
      <c r="S384" t="str">
        <f t="shared" si="120"/>
        <v>Books</v>
      </c>
      <c r="T384" t="str">
        <f t="shared" si="121"/>
        <v>David</v>
      </c>
      <c r="U384" t="str">
        <f t="shared" si="122"/>
        <v>20171014</v>
      </c>
      <c r="V384" t="str">
        <f t="shared" si="123"/>
        <v>0</v>
      </c>
      <c r="W384" s="4">
        <f t="shared" si="124"/>
        <v>43022</v>
      </c>
      <c r="X384" s="5">
        <f t="shared" si="125"/>
        <v>0</v>
      </c>
    </row>
    <row r="385" spans="3:24" x14ac:dyDescent="0.35">
      <c r="C385" s="2">
        <f t="shared" si="105"/>
        <v>384</v>
      </c>
      <c r="D385" t="s">
        <v>383</v>
      </c>
      <c r="E385">
        <f t="shared" si="106"/>
        <v>30</v>
      </c>
      <c r="F385" t="str">
        <f t="shared" si="107"/>
        <v xml:space="preserve">///PR:Games_SP:Barney20171023    $2144     </v>
      </c>
      <c r="G385">
        <f t="shared" si="108"/>
        <v>32</v>
      </c>
      <c r="H385" t="str">
        <f t="shared" si="109"/>
        <v>///PR:Games_SP:Barney20171023    $2144</v>
      </c>
      <c r="I385">
        <f t="shared" si="110"/>
        <v>52</v>
      </c>
      <c r="J385" t="str">
        <f t="shared" si="111"/>
        <v>PR:Games_SP:Barney20171023    $2144</v>
      </c>
      <c r="K385" t="str">
        <f t="shared" si="112"/>
        <v>PR:Games SP:Barney20171023    $2144</v>
      </c>
      <c r="L385" t="str">
        <f t="shared" si="113"/>
        <v>Games SP:Barney20171023    $2144</v>
      </c>
      <c r="M385" t="str">
        <f t="shared" si="114"/>
        <v>Games Barney20171023    $2144</v>
      </c>
      <c r="N385" t="str">
        <f t="shared" si="115"/>
        <v>Games Barney20171023 $2144</v>
      </c>
      <c r="O385" t="str">
        <f t="shared" si="116"/>
        <v>Games Barney 20171023 $2144</v>
      </c>
      <c r="P385">
        <f t="shared" si="117"/>
        <v>6</v>
      </c>
      <c r="Q385">
        <f t="shared" si="118"/>
        <v>13</v>
      </c>
      <c r="R385">
        <f t="shared" si="119"/>
        <v>22</v>
      </c>
      <c r="S385" t="str">
        <f t="shared" si="120"/>
        <v>Games</v>
      </c>
      <c r="T385" t="str">
        <f t="shared" si="121"/>
        <v>Barney</v>
      </c>
      <c r="U385" t="str">
        <f t="shared" si="122"/>
        <v>20171023</v>
      </c>
      <c r="V385" t="str">
        <f t="shared" si="123"/>
        <v>2144</v>
      </c>
      <c r="W385" s="4">
        <f t="shared" si="124"/>
        <v>43031</v>
      </c>
      <c r="X385" s="5">
        <f t="shared" si="125"/>
        <v>2144</v>
      </c>
    </row>
    <row r="386" spans="3:24" x14ac:dyDescent="0.35">
      <c r="C386" s="2">
        <f t="shared" si="105"/>
        <v>385</v>
      </c>
      <c r="D386" t="s">
        <v>384</v>
      </c>
      <c r="E386">
        <f t="shared" si="106"/>
        <v>29</v>
      </c>
      <c r="F386" t="str">
        <f t="shared" si="107"/>
        <v xml:space="preserve">///PR:Books____SP:Alice20171022     $699  </v>
      </c>
      <c r="G386">
        <f t="shared" si="108"/>
        <v>32</v>
      </c>
      <c r="H386" t="str">
        <f t="shared" si="109"/>
        <v>///PR:Books____SP:Alice20171022     $699</v>
      </c>
      <c r="I386">
        <f t="shared" si="110"/>
        <v>57</v>
      </c>
      <c r="J386" t="str">
        <f t="shared" si="111"/>
        <v>PR:Books____SP:Alice20171022     $699</v>
      </c>
      <c r="K386" t="str">
        <f t="shared" si="112"/>
        <v>PR:Books    SP:Alice20171022     $699</v>
      </c>
      <c r="L386" t="str">
        <f t="shared" si="113"/>
        <v>Books    SP:Alice20171022     $699</v>
      </c>
      <c r="M386" t="str">
        <f t="shared" si="114"/>
        <v>Books    Alice20171022     $699</v>
      </c>
      <c r="N386" t="str">
        <f t="shared" si="115"/>
        <v>Books Alice20171022 $699</v>
      </c>
      <c r="O386" t="str">
        <f t="shared" si="116"/>
        <v>Books Alice 20171022 $699</v>
      </c>
      <c r="P386">
        <f t="shared" si="117"/>
        <v>6</v>
      </c>
      <c r="Q386">
        <f t="shared" si="118"/>
        <v>12</v>
      </c>
      <c r="R386">
        <f t="shared" si="119"/>
        <v>21</v>
      </c>
      <c r="S386" t="str">
        <f t="shared" si="120"/>
        <v>Books</v>
      </c>
      <c r="T386" t="str">
        <f t="shared" si="121"/>
        <v>Alice</v>
      </c>
      <c r="U386" t="str">
        <f t="shared" si="122"/>
        <v>20171022</v>
      </c>
      <c r="V386" t="str">
        <f t="shared" si="123"/>
        <v>699</v>
      </c>
      <c r="W386" s="4">
        <f t="shared" si="124"/>
        <v>43030</v>
      </c>
      <c r="X386" s="5">
        <f t="shared" si="125"/>
        <v>699</v>
      </c>
    </row>
    <row r="387" spans="3:24" x14ac:dyDescent="0.35">
      <c r="C387" s="2">
        <f t="shared" ref="C387:C450" si="126">C386+1</f>
        <v>386</v>
      </c>
      <c r="D387" t="s">
        <v>385</v>
      </c>
      <c r="E387">
        <f t="shared" ref="E387:E450" si="127">CODE(RIGHT(D387,1))</f>
        <v>29</v>
      </c>
      <c r="F387" t="str">
        <f t="shared" ref="F387:F450" si="128">CLEAN(D387)</f>
        <v xml:space="preserve">///PR:Music_SP:David20171017     $0 </v>
      </c>
      <c r="G387">
        <f t="shared" ref="G387:G450" si="129">CODE(RIGHT(F387,1))</f>
        <v>32</v>
      </c>
      <c r="H387" t="str">
        <f t="shared" ref="H387:H450" si="130">TRIM(F387)</f>
        <v>///PR:Music_SP:David20171017     $0</v>
      </c>
      <c r="I387">
        <f t="shared" ref="I387:I450" si="131">CODE(RIGHT(H387,1))</f>
        <v>48</v>
      </c>
      <c r="J387" t="str">
        <f t="shared" ref="J387:J450" si="132">SUBSTITUTE(H387,"/","")</f>
        <v>PR:Music_SP:David20171017     $0</v>
      </c>
      <c r="K387" t="str">
        <f t="shared" ref="K387:K450" si="133">SUBSTITUTE(J387,"_"," ")</f>
        <v>PR:Music SP:David20171017     $0</v>
      </c>
      <c r="L387" t="str">
        <f t="shared" ref="L387:L450" si="134">SUBSTITUTE(K387,"PR:","")</f>
        <v>Music SP:David20171017     $0</v>
      </c>
      <c r="M387" t="str">
        <f t="shared" ref="M387:M450" si="135">SUBSTITUTE(L387,"SP:","")</f>
        <v>Music David20171017     $0</v>
      </c>
      <c r="N387" t="str">
        <f t="shared" ref="N387:N450" si="136">TRIM(SUBSTITUTE(M387,CHAR(160)," "))</f>
        <v>Music David20171017 $0</v>
      </c>
      <c r="O387" t="str">
        <f t="shared" ref="O387:O450" si="137">SUBSTITUTE(N387,"2017"," 2017")</f>
        <v>Music David 20171017 $0</v>
      </c>
      <c r="P387">
        <f t="shared" ref="P387:P450" si="138">SEARCH(" ",O387,1)</f>
        <v>6</v>
      </c>
      <c r="Q387">
        <f t="shared" ref="Q387:Q450" si="139">SEARCH(" ",O387,P387+1)</f>
        <v>12</v>
      </c>
      <c r="R387">
        <f t="shared" ref="R387:R450" si="140">SEARCH(" ",O387,Q387+1)</f>
        <v>21</v>
      </c>
      <c r="S387" t="str">
        <f t="shared" ref="S387:S450" si="141">LEFT(O387,P387-1)</f>
        <v>Music</v>
      </c>
      <c r="T387" t="str">
        <f t="shared" ref="T387:T450" si="142">MID(O387,P387+1,Q387-P387-1)</f>
        <v>David</v>
      </c>
      <c r="U387" t="str">
        <f t="shared" ref="U387:U450" si="143">MID(O387,Q387+1,R387-Q387-1)</f>
        <v>20171017</v>
      </c>
      <c r="V387" t="str">
        <f t="shared" ref="V387:V450" si="144">MID(O387,R387+2,99)</f>
        <v>0</v>
      </c>
      <c r="W387" s="4">
        <f t="shared" ref="W387:W450" si="145">DATE(2017,10,MID(U387,7,2))</f>
        <v>43025</v>
      </c>
      <c r="X387" s="5">
        <f t="shared" ref="X387:X450" si="146">VALUE(V387)</f>
        <v>0</v>
      </c>
    </row>
    <row r="388" spans="3:24" x14ac:dyDescent="0.35">
      <c r="C388" s="2">
        <f t="shared" si="126"/>
        <v>387</v>
      </c>
      <c r="D388" t="s">
        <v>386</v>
      </c>
      <c r="E388">
        <f t="shared" si="127"/>
        <v>29</v>
      </c>
      <c r="F388" t="str">
        <f t="shared" si="128"/>
        <v xml:space="preserve">///PR:Music____SP:Barney20171013   $0   </v>
      </c>
      <c r="G388">
        <f t="shared" si="129"/>
        <v>32</v>
      </c>
      <c r="H388" t="str">
        <f t="shared" si="130"/>
        <v>///PR:Music____SP:Barney20171013   $0</v>
      </c>
      <c r="I388">
        <f t="shared" si="131"/>
        <v>48</v>
      </c>
      <c r="J388" t="str">
        <f t="shared" si="132"/>
        <v>PR:Music____SP:Barney20171013   $0</v>
      </c>
      <c r="K388" t="str">
        <f t="shared" si="133"/>
        <v>PR:Music    SP:Barney20171013   $0</v>
      </c>
      <c r="L388" t="str">
        <f t="shared" si="134"/>
        <v>Music    SP:Barney20171013   $0</v>
      </c>
      <c r="M388" t="str">
        <f t="shared" si="135"/>
        <v>Music    Barney20171013   $0</v>
      </c>
      <c r="N388" t="str">
        <f t="shared" si="136"/>
        <v>Music Barney20171013 $0</v>
      </c>
      <c r="O388" t="str">
        <f t="shared" si="137"/>
        <v>Music Barney 20171013 $0</v>
      </c>
      <c r="P388">
        <f t="shared" si="138"/>
        <v>6</v>
      </c>
      <c r="Q388">
        <f t="shared" si="139"/>
        <v>13</v>
      </c>
      <c r="R388">
        <f t="shared" si="140"/>
        <v>22</v>
      </c>
      <c r="S388" t="str">
        <f t="shared" si="141"/>
        <v>Music</v>
      </c>
      <c r="T388" t="str">
        <f t="shared" si="142"/>
        <v>Barney</v>
      </c>
      <c r="U388" t="str">
        <f t="shared" si="143"/>
        <v>20171013</v>
      </c>
      <c r="V388" t="str">
        <f t="shared" si="144"/>
        <v>0</v>
      </c>
      <c r="W388" s="4">
        <f t="shared" si="145"/>
        <v>43021</v>
      </c>
      <c r="X388" s="5">
        <f t="shared" si="146"/>
        <v>0</v>
      </c>
    </row>
    <row r="389" spans="3:24" x14ac:dyDescent="0.35">
      <c r="C389" s="2">
        <f t="shared" si="126"/>
        <v>388</v>
      </c>
      <c r="D389" t="s">
        <v>387</v>
      </c>
      <c r="E389">
        <f t="shared" si="127"/>
        <v>28</v>
      </c>
      <c r="F389" t="str">
        <f t="shared" si="128"/>
        <v xml:space="preserve">/PR:Books_____SP:Carol20171017     $825     </v>
      </c>
      <c r="G389">
        <f t="shared" si="129"/>
        <v>32</v>
      </c>
      <c r="H389" t="str">
        <f t="shared" si="130"/>
        <v>/PR:Books_____SP:Carol20171017     $825</v>
      </c>
      <c r="I389">
        <f t="shared" si="131"/>
        <v>53</v>
      </c>
      <c r="J389" t="str">
        <f t="shared" si="132"/>
        <v>PR:Books_____SP:Carol20171017     $825</v>
      </c>
      <c r="K389" t="str">
        <f t="shared" si="133"/>
        <v>PR:Books     SP:Carol20171017     $825</v>
      </c>
      <c r="L389" t="str">
        <f t="shared" si="134"/>
        <v>Books     SP:Carol20171017     $825</v>
      </c>
      <c r="M389" t="str">
        <f t="shared" si="135"/>
        <v>Books     Carol20171017     $825</v>
      </c>
      <c r="N389" t="str">
        <f t="shared" si="136"/>
        <v>Books Carol20171017 $825</v>
      </c>
      <c r="O389" t="str">
        <f t="shared" si="137"/>
        <v>Books Carol 20171017 $825</v>
      </c>
      <c r="P389">
        <f t="shared" si="138"/>
        <v>6</v>
      </c>
      <c r="Q389">
        <f t="shared" si="139"/>
        <v>12</v>
      </c>
      <c r="R389">
        <f t="shared" si="140"/>
        <v>21</v>
      </c>
      <c r="S389" t="str">
        <f t="shared" si="141"/>
        <v>Books</v>
      </c>
      <c r="T389" t="str">
        <f t="shared" si="142"/>
        <v>Carol</v>
      </c>
      <c r="U389" t="str">
        <f t="shared" si="143"/>
        <v>20171017</v>
      </c>
      <c r="V389" t="str">
        <f t="shared" si="144"/>
        <v>825</v>
      </c>
      <c r="W389" s="4">
        <f t="shared" si="145"/>
        <v>43025</v>
      </c>
      <c r="X389" s="5">
        <f t="shared" si="146"/>
        <v>825</v>
      </c>
    </row>
    <row r="390" spans="3:24" x14ac:dyDescent="0.35">
      <c r="C390" s="2">
        <f t="shared" si="126"/>
        <v>389</v>
      </c>
      <c r="D390" t="s">
        <v>388</v>
      </c>
      <c r="E390">
        <f t="shared" si="127"/>
        <v>28</v>
      </c>
      <c r="F390" t="str">
        <f t="shared" si="128"/>
        <v xml:space="preserve">////PR:Games__SP:Alice2017107     $0   </v>
      </c>
      <c r="G390">
        <f t="shared" si="129"/>
        <v>32</v>
      </c>
      <c r="H390" t="str">
        <f t="shared" si="130"/>
        <v>////PR:Games__SP:Alice2017107     $0</v>
      </c>
      <c r="I390">
        <f t="shared" si="131"/>
        <v>48</v>
      </c>
      <c r="J390" t="str">
        <f t="shared" si="132"/>
        <v>PR:Games__SP:Alice2017107     $0</v>
      </c>
      <c r="K390" t="str">
        <f t="shared" si="133"/>
        <v>PR:Games  SP:Alice2017107     $0</v>
      </c>
      <c r="L390" t="str">
        <f t="shared" si="134"/>
        <v>Games  SP:Alice2017107     $0</v>
      </c>
      <c r="M390" t="str">
        <f t="shared" si="135"/>
        <v>Games  Alice2017107     $0</v>
      </c>
      <c r="N390" t="str">
        <f t="shared" si="136"/>
        <v>Games Alice2017107 $0</v>
      </c>
      <c r="O390" t="str">
        <f t="shared" si="137"/>
        <v>Games Alice 2017107 $0</v>
      </c>
      <c r="P390">
        <f t="shared" si="138"/>
        <v>6</v>
      </c>
      <c r="Q390">
        <f t="shared" si="139"/>
        <v>12</v>
      </c>
      <c r="R390">
        <f t="shared" si="140"/>
        <v>20</v>
      </c>
      <c r="S390" t="str">
        <f t="shared" si="141"/>
        <v>Games</v>
      </c>
      <c r="T390" t="str">
        <f t="shared" si="142"/>
        <v>Alice</v>
      </c>
      <c r="U390" t="str">
        <f t="shared" si="143"/>
        <v>2017107</v>
      </c>
      <c r="V390" t="str">
        <f t="shared" si="144"/>
        <v>0</v>
      </c>
      <c r="W390" s="4">
        <f t="shared" si="145"/>
        <v>43015</v>
      </c>
      <c r="X390" s="5">
        <f t="shared" si="146"/>
        <v>0</v>
      </c>
    </row>
    <row r="391" spans="3:24" x14ac:dyDescent="0.35">
      <c r="C391" s="2">
        <f t="shared" si="126"/>
        <v>390</v>
      </c>
      <c r="D391" t="s">
        <v>389</v>
      </c>
      <c r="E391">
        <f t="shared" si="127"/>
        <v>30</v>
      </c>
      <c r="F391" t="str">
        <f t="shared" si="128"/>
        <v xml:space="preserve">//PR:Games_____SP:David2017101    $1810     </v>
      </c>
      <c r="G391">
        <f t="shared" si="129"/>
        <v>32</v>
      </c>
      <c r="H391" t="str">
        <f t="shared" si="130"/>
        <v>//PR:Games_____SP:David2017101    $1810</v>
      </c>
      <c r="I391">
        <f t="shared" si="131"/>
        <v>48</v>
      </c>
      <c r="J391" t="str">
        <f t="shared" si="132"/>
        <v>PR:Games_____SP:David2017101    $1810</v>
      </c>
      <c r="K391" t="str">
        <f t="shared" si="133"/>
        <v>PR:Games     SP:David2017101    $1810</v>
      </c>
      <c r="L391" t="str">
        <f t="shared" si="134"/>
        <v>Games     SP:David2017101    $1810</v>
      </c>
      <c r="M391" t="str">
        <f t="shared" si="135"/>
        <v>Games     David2017101    $1810</v>
      </c>
      <c r="N391" t="str">
        <f t="shared" si="136"/>
        <v>Games David2017101 $1810</v>
      </c>
      <c r="O391" t="str">
        <f t="shared" si="137"/>
        <v>Games David 2017101 $1810</v>
      </c>
      <c r="P391">
        <f t="shared" si="138"/>
        <v>6</v>
      </c>
      <c r="Q391">
        <f t="shared" si="139"/>
        <v>12</v>
      </c>
      <c r="R391">
        <f t="shared" si="140"/>
        <v>20</v>
      </c>
      <c r="S391" t="str">
        <f t="shared" si="141"/>
        <v>Games</v>
      </c>
      <c r="T391" t="str">
        <f t="shared" si="142"/>
        <v>David</v>
      </c>
      <c r="U391" t="str">
        <f t="shared" si="143"/>
        <v>2017101</v>
      </c>
      <c r="V391" t="str">
        <f t="shared" si="144"/>
        <v>1810</v>
      </c>
      <c r="W391" s="4">
        <f t="shared" si="145"/>
        <v>43009</v>
      </c>
      <c r="X391" s="5">
        <f t="shared" si="146"/>
        <v>1810</v>
      </c>
    </row>
    <row r="392" spans="3:24" x14ac:dyDescent="0.35">
      <c r="C392" s="2">
        <f t="shared" si="126"/>
        <v>391</v>
      </c>
      <c r="D392" t="s">
        <v>390</v>
      </c>
      <c r="E392">
        <f t="shared" si="127"/>
        <v>30</v>
      </c>
      <c r="F392" t="str">
        <f t="shared" si="128"/>
        <v xml:space="preserve">/////PR:Books__SP:Carol20171026  $686   </v>
      </c>
      <c r="G392">
        <f t="shared" si="129"/>
        <v>32</v>
      </c>
      <c r="H392" t="str">
        <f t="shared" si="130"/>
        <v>/////PR:Books__SP:Carol20171026  $686</v>
      </c>
      <c r="I392">
        <f t="shared" si="131"/>
        <v>54</v>
      </c>
      <c r="J392" t="str">
        <f t="shared" si="132"/>
        <v>PR:Books__SP:Carol20171026  $686</v>
      </c>
      <c r="K392" t="str">
        <f t="shared" si="133"/>
        <v>PR:Books  SP:Carol20171026  $686</v>
      </c>
      <c r="L392" t="str">
        <f t="shared" si="134"/>
        <v>Books  SP:Carol20171026  $686</v>
      </c>
      <c r="M392" t="str">
        <f t="shared" si="135"/>
        <v>Books  Carol20171026  $686</v>
      </c>
      <c r="N392" t="str">
        <f t="shared" si="136"/>
        <v>Books Carol20171026 $686</v>
      </c>
      <c r="O392" t="str">
        <f t="shared" si="137"/>
        <v>Books Carol 20171026 $686</v>
      </c>
      <c r="P392">
        <f t="shared" si="138"/>
        <v>6</v>
      </c>
      <c r="Q392">
        <f t="shared" si="139"/>
        <v>12</v>
      </c>
      <c r="R392">
        <f t="shared" si="140"/>
        <v>21</v>
      </c>
      <c r="S392" t="str">
        <f t="shared" si="141"/>
        <v>Books</v>
      </c>
      <c r="T392" t="str">
        <f t="shared" si="142"/>
        <v>Carol</v>
      </c>
      <c r="U392" t="str">
        <f t="shared" si="143"/>
        <v>20171026</v>
      </c>
      <c r="V392" t="str">
        <f t="shared" si="144"/>
        <v>686</v>
      </c>
      <c r="W392" s="4">
        <f t="shared" si="145"/>
        <v>43034</v>
      </c>
      <c r="X392" s="5">
        <f t="shared" si="146"/>
        <v>686</v>
      </c>
    </row>
    <row r="393" spans="3:24" x14ac:dyDescent="0.35">
      <c r="C393" s="2">
        <f t="shared" si="126"/>
        <v>392</v>
      </c>
      <c r="D393" t="s">
        <v>391</v>
      </c>
      <c r="E393">
        <f t="shared" si="127"/>
        <v>28</v>
      </c>
      <c r="F393" t="str">
        <f t="shared" si="128"/>
        <v xml:space="preserve">////PR:Music_____SP:Carol2017104  $1025  </v>
      </c>
      <c r="G393">
        <f t="shared" si="129"/>
        <v>32</v>
      </c>
      <c r="H393" t="str">
        <f t="shared" si="130"/>
        <v>////PR:Music_____SP:Carol2017104  $1025</v>
      </c>
      <c r="I393">
        <f t="shared" si="131"/>
        <v>53</v>
      </c>
      <c r="J393" t="str">
        <f t="shared" si="132"/>
        <v>PR:Music_____SP:Carol2017104  $1025</v>
      </c>
      <c r="K393" t="str">
        <f t="shared" si="133"/>
        <v>PR:Music     SP:Carol2017104  $1025</v>
      </c>
      <c r="L393" t="str">
        <f t="shared" si="134"/>
        <v>Music     SP:Carol2017104  $1025</v>
      </c>
      <c r="M393" t="str">
        <f t="shared" si="135"/>
        <v>Music     Carol2017104  $1025</v>
      </c>
      <c r="N393" t="str">
        <f t="shared" si="136"/>
        <v>Music Carol2017104 $1025</v>
      </c>
      <c r="O393" t="str">
        <f t="shared" si="137"/>
        <v>Music Carol 2017104 $1025</v>
      </c>
      <c r="P393">
        <f t="shared" si="138"/>
        <v>6</v>
      </c>
      <c r="Q393">
        <f t="shared" si="139"/>
        <v>12</v>
      </c>
      <c r="R393">
        <f t="shared" si="140"/>
        <v>20</v>
      </c>
      <c r="S393" t="str">
        <f t="shared" si="141"/>
        <v>Music</v>
      </c>
      <c r="T393" t="str">
        <f t="shared" si="142"/>
        <v>Carol</v>
      </c>
      <c r="U393" t="str">
        <f t="shared" si="143"/>
        <v>2017104</v>
      </c>
      <c r="V393" t="str">
        <f t="shared" si="144"/>
        <v>1025</v>
      </c>
      <c r="W393" s="4">
        <f t="shared" si="145"/>
        <v>43012</v>
      </c>
      <c r="X393" s="5">
        <f t="shared" si="146"/>
        <v>1025</v>
      </c>
    </row>
    <row r="394" spans="3:24" x14ac:dyDescent="0.35">
      <c r="C394" s="2">
        <f t="shared" si="126"/>
        <v>393</v>
      </c>
      <c r="D394" t="s">
        <v>392</v>
      </c>
      <c r="E394">
        <f t="shared" si="127"/>
        <v>29</v>
      </c>
      <c r="F394" t="str">
        <f t="shared" si="128"/>
        <v xml:space="preserve">///PR:Games_SP:Carol2017102    $827     </v>
      </c>
      <c r="G394">
        <f t="shared" si="129"/>
        <v>32</v>
      </c>
      <c r="H394" t="str">
        <f t="shared" si="130"/>
        <v>///PR:Games_SP:Carol2017102    $827</v>
      </c>
      <c r="I394">
        <f t="shared" si="131"/>
        <v>55</v>
      </c>
      <c r="J394" t="str">
        <f t="shared" si="132"/>
        <v>PR:Games_SP:Carol2017102    $827</v>
      </c>
      <c r="K394" t="str">
        <f t="shared" si="133"/>
        <v>PR:Games SP:Carol2017102    $827</v>
      </c>
      <c r="L394" t="str">
        <f t="shared" si="134"/>
        <v>Games SP:Carol2017102    $827</v>
      </c>
      <c r="M394" t="str">
        <f t="shared" si="135"/>
        <v>Games Carol2017102    $827</v>
      </c>
      <c r="N394" t="str">
        <f t="shared" si="136"/>
        <v>Games Carol2017102 $827</v>
      </c>
      <c r="O394" t="str">
        <f t="shared" si="137"/>
        <v>Games Carol 2017102 $827</v>
      </c>
      <c r="P394">
        <f t="shared" si="138"/>
        <v>6</v>
      </c>
      <c r="Q394">
        <f t="shared" si="139"/>
        <v>12</v>
      </c>
      <c r="R394">
        <f t="shared" si="140"/>
        <v>20</v>
      </c>
      <c r="S394" t="str">
        <f t="shared" si="141"/>
        <v>Games</v>
      </c>
      <c r="T394" t="str">
        <f t="shared" si="142"/>
        <v>Carol</v>
      </c>
      <c r="U394" t="str">
        <f t="shared" si="143"/>
        <v>2017102</v>
      </c>
      <c r="V394" t="str">
        <f t="shared" si="144"/>
        <v>827</v>
      </c>
      <c r="W394" s="4">
        <f t="shared" si="145"/>
        <v>43010</v>
      </c>
      <c r="X394" s="5">
        <f t="shared" si="146"/>
        <v>827</v>
      </c>
    </row>
    <row r="395" spans="3:24" x14ac:dyDescent="0.35">
      <c r="C395" s="2">
        <f t="shared" si="126"/>
        <v>394</v>
      </c>
      <c r="D395" t="s">
        <v>393</v>
      </c>
      <c r="E395">
        <f t="shared" si="127"/>
        <v>28</v>
      </c>
      <c r="F395" t="str">
        <f t="shared" si="128"/>
        <v xml:space="preserve">/////PR:Books____SP:David20171018  $0  </v>
      </c>
      <c r="G395">
        <f t="shared" si="129"/>
        <v>32</v>
      </c>
      <c r="H395" t="str">
        <f t="shared" si="130"/>
        <v>/////PR:Books____SP:David20171018  $0</v>
      </c>
      <c r="I395">
        <f t="shared" si="131"/>
        <v>48</v>
      </c>
      <c r="J395" t="str">
        <f t="shared" si="132"/>
        <v>PR:Books____SP:David20171018  $0</v>
      </c>
      <c r="K395" t="str">
        <f t="shared" si="133"/>
        <v>PR:Books    SP:David20171018  $0</v>
      </c>
      <c r="L395" t="str">
        <f t="shared" si="134"/>
        <v>Books    SP:David20171018  $0</v>
      </c>
      <c r="M395" t="str">
        <f t="shared" si="135"/>
        <v>Books    David20171018  $0</v>
      </c>
      <c r="N395" t="str">
        <f t="shared" si="136"/>
        <v>Books David20171018 $0</v>
      </c>
      <c r="O395" t="str">
        <f t="shared" si="137"/>
        <v>Books David 20171018 $0</v>
      </c>
      <c r="P395">
        <f t="shared" si="138"/>
        <v>6</v>
      </c>
      <c r="Q395">
        <f t="shared" si="139"/>
        <v>12</v>
      </c>
      <c r="R395">
        <f t="shared" si="140"/>
        <v>21</v>
      </c>
      <c r="S395" t="str">
        <f t="shared" si="141"/>
        <v>Books</v>
      </c>
      <c r="T395" t="str">
        <f t="shared" si="142"/>
        <v>David</v>
      </c>
      <c r="U395" t="str">
        <f t="shared" si="143"/>
        <v>20171018</v>
      </c>
      <c r="V395" t="str">
        <f t="shared" si="144"/>
        <v>0</v>
      </c>
      <c r="W395" s="4">
        <f t="shared" si="145"/>
        <v>43026</v>
      </c>
      <c r="X395" s="5">
        <f t="shared" si="146"/>
        <v>0</v>
      </c>
    </row>
    <row r="396" spans="3:24" x14ac:dyDescent="0.35">
      <c r="C396" s="2">
        <f t="shared" si="126"/>
        <v>395</v>
      </c>
      <c r="D396" t="s">
        <v>394</v>
      </c>
      <c r="E396">
        <f t="shared" si="127"/>
        <v>28</v>
      </c>
      <c r="F396" t="str">
        <f t="shared" si="128"/>
        <v xml:space="preserve">///PR:Music_____SP:Barney20171022 $1291   </v>
      </c>
      <c r="G396">
        <f t="shared" si="129"/>
        <v>32</v>
      </c>
      <c r="H396" t="str">
        <f t="shared" si="130"/>
        <v>///PR:Music_____SP:Barney20171022 $1291</v>
      </c>
      <c r="I396">
        <f t="shared" si="131"/>
        <v>49</v>
      </c>
      <c r="J396" t="str">
        <f t="shared" si="132"/>
        <v>PR:Music_____SP:Barney20171022 $1291</v>
      </c>
      <c r="K396" t="str">
        <f t="shared" si="133"/>
        <v>PR:Music     SP:Barney20171022 $1291</v>
      </c>
      <c r="L396" t="str">
        <f t="shared" si="134"/>
        <v>Music     SP:Barney20171022 $1291</v>
      </c>
      <c r="M396" t="str">
        <f t="shared" si="135"/>
        <v>Music     Barney20171022 $1291</v>
      </c>
      <c r="N396" t="str">
        <f t="shared" si="136"/>
        <v>Music Barney20171022 $1291</v>
      </c>
      <c r="O396" t="str">
        <f t="shared" si="137"/>
        <v>Music Barney 20171022 $1291</v>
      </c>
      <c r="P396">
        <f t="shared" si="138"/>
        <v>6</v>
      </c>
      <c r="Q396">
        <f t="shared" si="139"/>
        <v>13</v>
      </c>
      <c r="R396">
        <f t="shared" si="140"/>
        <v>22</v>
      </c>
      <c r="S396" t="str">
        <f t="shared" si="141"/>
        <v>Music</v>
      </c>
      <c r="T396" t="str">
        <f t="shared" si="142"/>
        <v>Barney</v>
      </c>
      <c r="U396" t="str">
        <f t="shared" si="143"/>
        <v>20171022</v>
      </c>
      <c r="V396" t="str">
        <f t="shared" si="144"/>
        <v>1291</v>
      </c>
      <c r="W396" s="4">
        <f t="shared" si="145"/>
        <v>43030</v>
      </c>
      <c r="X396" s="5">
        <f t="shared" si="146"/>
        <v>1291</v>
      </c>
    </row>
    <row r="397" spans="3:24" x14ac:dyDescent="0.35">
      <c r="C397" s="2">
        <f t="shared" si="126"/>
        <v>396</v>
      </c>
      <c r="D397" t="s">
        <v>395</v>
      </c>
      <c r="E397">
        <f t="shared" si="127"/>
        <v>29</v>
      </c>
      <c r="F397" t="str">
        <f t="shared" si="128"/>
        <v xml:space="preserve">/////PR:Music___SP:Barney20171017   $1294   </v>
      </c>
      <c r="G397">
        <f t="shared" si="129"/>
        <v>32</v>
      </c>
      <c r="H397" t="str">
        <f t="shared" si="130"/>
        <v>/////PR:Music___SP:Barney20171017   $1294</v>
      </c>
      <c r="I397">
        <f t="shared" si="131"/>
        <v>52</v>
      </c>
      <c r="J397" t="str">
        <f t="shared" si="132"/>
        <v>PR:Music___SP:Barney20171017   $1294</v>
      </c>
      <c r="K397" t="str">
        <f t="shared" si="133"/>
        <v>PR:Music   SP:Barney20171017   $1294</v>
      </c>
      <c r="L397" t="str">
        <f t="shared" si="134"/>
        <v>Music   SP:Barney20171017   $1294</v>
      </c>
      <c r="M397" t="str">
        <f t="shared" si="135"/>
        <v>Music   Barney20171017   $1294</v>
      </c>
      <c r="N397" t="str">
        <f t="shared" si="136"/>
        <v>Music Barney20171017 $1294</v>
      </c>
      <c r="O397" t="str">
        <f t="shared" si="137"/>
        <v>Music Barney 20171017 $1294</v>
      </c>
      <c r="P397">
        <f t="shared" si="138"/>
        <v>6</v>
      </c>
      <c r="Q397">
        <f t="shared" si="139"/>
        <v>13</v>
      </c>
      <c r="R397">
        <f t="shared" si="140"/>
        <v>22</v>
      </c>
      <c r="S397" t="str">
        <f t="shared" si="141"/>
        <v>Music</v>
      </c>
      <c r="T397" t="str">
        <f t="shared" si="142"/>
        <v>Barney</v>
      </c>
      <c r="U397" t="str">
        <f t="shared" si="143"/>
        <v>20171017</v>
      </c>
      <c r="V397" t="str">
        <f t="shared" si="144"/>
        <v>1294</v>
      </c>
      <c r="W397" s="4">
        <f t="shared" si="145"/>
        <v>43025</v>
      </c>
      <c r="X397" s="5">
        <f t="shared" si="146"/>
        <v>1294</v>
      </c>
    </row>
    <row r="398" spans="3:24" x14ac:dyDescent="0.35">
      <c r="C398" s="2">
        <f t="shared" si="126"/>
        <v>397</v>
      </c>
      <c r="D398" t="s">
        <v>396</v>
      </c>
      <c r="E398">
        <f t="shared" si="127"/>
        <v>29</v>
      </c>
      <c r="F398" t="str">
        <f t="shared" si="128"/>
        <v xml:space="preserve">/////PR:Music__SP:Alice20171010   $1098    </v>
      </c>
      <c r="G398">
        <f t="shared" si="129"/>
        <v>32</v>
      </c>
      <c r="H398" t="str">
        <f t="shared" si="130"/>
        <v>/////PR:Music__SP:Alice20171010   $1098</v>
      </c>
      <c r="I398">
        <f t="shared" si="131"/>
        <v>56</v>
      </c>
      <c r="J398" t="str">
        <f t="shared" si="132"/>
        <v>PR:Music__SP:Alice20171010   $1098</v>
      </c>
      <c r="K398" t="str">
        <f t="shared" si="133"/>
        <v>PR:Music  SP:Alice20171010   $1098</v>
      </c>
      <c r="L398" t="str">
        <f t="shared" si="134"/>
        <v>Music  SP:Alice20171010   $1098</v>
      </c>
      <c r="M398" t="str">
        <f t="shared" si="135"/>
        <v>Music  Alice20171010   $1098</v>
      </c>
      <c r="N398" t="str">
        <f t="shared" si="136"/>
        <v>Music Alice20171010 $1098</v>
      </c>
      <c r="O398" t="str">
        <f t="shared" si="137"/>
        <v>Music Alice 20171010 $1098</v>
      </c>
      <c r="P398">
        <f t="shared" si="138"/>
        <v>6</v>
      </c>
      <c r="Q398">
        <f t="shared" si="139"/>
        <v>12</v>
      </c>
      <c r="R398">
        <f t="shared" si="140"/>
        <v>21</v>
      </c>
      <c r="S398" t="str">
        <f t="shared" si="141"/>
        <v>Music</v>
      </c>
      <c r="T398" t="str">
        <f t="shared" si="142"/>
        <v>Alice</v>
      </c>
      <c r="U398" t="str">
        <f t="shared" si="143"/>
        <v>20171010</v>
      </c>
      <c r="V398" t="str">
        <f t="shared" si="144"/>
        <v>1098</v>
      </c>
      <c r="W398" s="4">
        <f t="shared" si="145"/>
        <v>43018</v>
      </c>
      <c r="X398" s="5">
        <f t="shared" si="146"/>
        <v>1098</v>
      </c>
    </row>
    <row r="399" spans="3:24" x14ac:dyDescent="0.35">
      <c r="C399" s="2">
        <f t="shared" si="126"/>
        <v>398</v>
      </c>
      <c r="D399" t="s">
        <v>397</v>
      </c>
      <c r="E399">
        <f t="shared" si="127"/>
        <v>29</v>
      </c>
      <c r="F399" t="str">
        <f t="shared" si="128"/>
        <v xml:space="preserve">////PR:Books___SP:Alice2017104  $716  </v>
      </c>
      <c r="G399">
        <f t="shared" si="129"/>
        <v>32</v>
      </c>
      <c r="H399" t="str">
        <f t="shared" si="130"/>
        <v>////PR:Books___SP:Alice2017104  $716</v>
      </c>
      <c r="I399">
        <f t="shared" si="131"/>
        <v>54</v>
      </c>
      <c r="J399" t="str">
        <f t="shared" si="132"/>
        <v>PR:Books___SP:Alice2017104  $716</v>
      </c>
      <c r="K399" t="str">
        <f t="shared" si="133"/>
        <v>PR:Books   SP:Alice2017104  $716</v>
      </c>
      <c r="L399" t="str">
        <f t="shared" si="134"/>
        <v>Books   SP:Alice2017104  $716</v>
      </c>
      <c r="M399" t="str">
        <f t="shared" si="135"/>
        <v>Books   Alice2017104  $716</v>
      </c>
      <c r="N399" t="str">
        <f t="shared" si="136"/>
        <v>Books Alice2017104 $716</v>
      </c>
      <c r="O399" t="str">
        <f t="shared" si="137"/>
        <v>Books Alice 2017104 $716</v>
      </c>
      <c r="P399">
        <f t="shared" si="138"/>
        <v>6</v>
      </c>
      <c r="Q399">
        <f t="shared" si="139"/>
        <v>12</v>
      </c>
      <c r="R399">
        <f t="shared" si="140"/>
        <v>20</v>
      </c>
      <c r="S399" t="str">
        <f t="shared" si="141"/>
        <v>Books</v>
      </c>
      <c r="T399" t="str">
        <f t="shared" si="142"/>
        <v>Alice</v>
      </c>
      <c r="U399" t="str">
        <f t="shared" si="143"/>
        <v>2017104</v>
      </c>
      <c r="V399" t="str">
        <f t="shared" si="144"/>
        <v>716</v>
      </c>
      <c r="W399" s="4">
        <f t="shared" si="145"/>
        <v>43012</v>
      </c>
      <c r="X399" s="5">
        <f t="shared" si="146"/>
        <v>716</v>
      </c>
    </row>
    <row r="400" spans="3:24" x14ac:dyDescent="0.35">
      <c r="C400" s="2">
        <f t="shared" si="126"/>
        <v>399</v>
      </c>
      <c r="D400" t="s">
        <v>398</v>
      </c>
      <c r="E400">
        <f t="shared" si="127"/>
        <v>28</v>
      </c>
      <c r="F400" t="str">
        <f t="shared" si="128"/>
        <v xml:space="preserve">///PR:Clothing____SP:Alice20171012 $0     </v>
      </c>
      <c r="G400">
        <f t="shared" si="129"/>
        <v>32</v>
      </c>
      <c r="H400" t="str">
        <f t="shared" si="130"/>
        <v>///PR:Clothing____SP:Alice20171012 $0</v>
      </c>
      <c r="I400">
        <f t="shared" si="131"/>
        <v>48</v>
      </c>
      <c r="J400" t="str">
        <f t="shared" si="132"/>
        <v>PR:Clothing____SP:Alice20171012 $0</v>
      </c>
      <c r="K400" t="str">
        <f t="shared" si="133"/>
        <v>PR:Clothing    SP:Alice20171012 $0</v>
      </c>
      <c r="L400" t="str">
        <f t="shared" si="134"/>
        <v>Clothing    SP:Alice20171012 $0</v>
      </c>
      <c r="M400" t="str">
        <f t="shared" si="135"/>
        <v>Clothing    Alice20171012 $0</v>
      </c>
      <c r="N400" t="str">
        <f t="shared" si="136"/>
        <v>Clothing Alice20171012 $0</v>
      </c>
      <c r="O400" t="str">
        <f t="shared" si="137"/>
        <v>Clothing Alice 20171012 $0</v>
      </c>
      <c r="P400">
        <f t="shared" si="138"/>
        <v>9</v>
      </c>
      <c r="Q400">
        <f t="shared" si="139"/>
        <v>15</v>
      </c>
      <c r="R400">
        <f t="shared" si="140"/>
        <v>24</v>
      </c>
      <c r="S400" t="str">
        <f t="shared" si="141"/>
        <v>Clothing</v>
      </c>
      <c r="T400" t="str">
        <f t="shared" si="142"/>
        <v>Alice</v>
      </c>
      <c r="U400" t="str">
        <f t="shared" si="143"/>
        <v>20171012</v>
      </c>
      <c r="V400" t="str">
        <f t="shared" si="144"/>
        <v>0</v>
      </c>
      <c r="W400" s="4">
        <f t="shared" si="145"/>
        <v>43020</v>
      </c>
      <c r="X400" s="5">
        <f t="shared" si="146"/>
        <v>0</v>
      </c>
    </row>
    <row r="401" spans="3:24" x14ac:dyDescent="0.35">
      <c r="C401" s="2">
        <f t="shared" si="126"/>
        <v>400</v>
      </c>
      <c r="D401" t="s">
        <v>399</v>
      </c>
      <c r="E401">
        <f t="shared" si="127"/>
        <v>31</v>
      </c>
      <c r="F401" t="str">
        <f t="shared" si="128"/>
        <v xml:space="preserve">///PR:Clothing_SP:David20171019   $0  </v>
      </c>
      <c r="G401">
        <f t="shared" si="129"/>
        <v>32</v>
      </c>
      <c r="H401" t="str">
        <f t="shared" si="130"/>
        <v>///PR:Clothing_SP:David20171019   $0</v>
      </c>
      <c r="I401">
        <f t="shared" si="131"/>
        <v>48</v>
      </c>
      <c r="J401" t="str">
        <f t="shared" si="132"/>
        <v>PR:Clothing_SP:David20171019   $0</v>
      </c>
      <c r="K401" t="str">
        <f t="shared" si="133"/>
        <v>PR:Clothing SP:David20171019   $0</v>
      </c>
      <c r="L401" t="str">
        <f t="shared" si="134"/>
        <v>Clothing SP:David20171019   $0</v>
      </c>
      <c r="M401" t="str">
        <f t="shared" si="135"/>
        <v>Clothing David20171019   $0</v>
      </c>
      <c r="N401" t="str">
        <f t="shared" si="136"/>
        <v>Clothing David20171019 $0</v>
      </c>
      <c r="O401" t="str">
        <f t="shared" si="137"/>
        <v>Clothing David 20171019 $0</v>
      </c>
      <c r="P401">
        <f t="shared" si="138"/>
        <v>9</v>
      </c>
      <c r="Q401">
        <f t="shared" si="139"/>
        <v>15</v>
      </c>
      <c r="R401">
        <f t="shared" si="140"/>
        <v>24</v>
      </c>
      <c r="S401" t="str">
        <f t="shared" si="141"/>
        <v>Clothing</v>
      </c>
      <c r="T401" t="str">
        <f t="shared" si="142"/>
        <v>David</v>
      </c>
      <c r="U401" t="str">
        <f t="shared" si="143"/>
        <v>20171019</v>
      </c>
      <c r="V401" t="str">
        <f t="shared" si="144"/>
        <v>0</v>
      </c>
      <c r="W401" s="4">
        <f t="shared" si="145"/>
        <v>43027</v>
      </c>
      <c r="X401" s="5">
        <f t="shared" si="146"/>
        <v>0</v>
      </c>
    </row>
    <row r="402" spans="3:24" x14ac:dyDescent="0.35">
      <c r="C402" s="2">
        <f t="shared" si="126"/>
        <v>401</v>
      </c>
      <c r="D402" t="s">
        <v>400</v>
      </c>
      <c r="E402">
        <f t="shared" si="127"/>
        <v>28</v>
      </c>
      <c r="F402" t="str">
        <f t="shared" si="128"/>
        <v xml:space="preserve">//PR:Clothing_SP:Carol2017101 $988 </v>
      </c>
      <c r="G402">
        <f t="shared" si="129"/>
        <v>32</v>
      </c>
      <c r="H402" t="str">
        <f t="shared" si="130"/>
        <v>//PR:Clothing_SP:Carol2017101 $988</v>
      </c>
      <c r="I402">
        <f t="shared" si="131"/>
        <v>56</v>
      </c>
      <c r="J402" t="str">
        <f t="shared" si="132"/>
        <v>PR:Clothing_SP:Carol2017101 $988</v>
      </c>
      <c r="K402" t="str">
        <f t="shared" si="133"/>
        <v>PR:Clothing SP:Carol2017101 $988</v>
      </c>
      <c r="L402" t="str">
        <f t="shared" si="134"/>
        <v>Clothing SP:Carol2017101 $988</v>
      </c>
      <c r="M402" t="str">
        <f t="shared" si="135"/>
        <v>Clothing Carol2017101 $988</v>
      </c>
      <c r="N402" t="str">
        <f t="shared" si="136"/>
        <v>Clothing Carol2017101 $988</v>
      </c>
      <c r="O402" t="str">
        <f t="shared" si="137"/>
        <v>Clothing Carol 2017101 $988</v>
      </c>
      <c r="P402">
        <f t="shared" si="138"/>
        <v>9</v>
      </c>
      <c r="Q402">
        <f t="shared" si="139"/>
        <v>15</v>
      </c>
      <c r="R402">
        <f t="shared" si="140"/>
        <v>23</v>
      </c>
      <c r="S402" t="str">
        <f t="shared" si="141"/>
        <v>Clothing</v>
      </c>
      <c r="T402" t="str">
        <f t="shared" si="142"/>
        <v>Carol</v>
      </c>
      <c r="U402" t="str">
        <f t="shared" si="143"/>
        <v>2017101</v>
      </c>
      <c r="V402" t="str">
        <f t="shared" si="144"/>
        <v>988</v>
      </c>
      <c r="W402" s="4">
        <f t="shared" si="145"/>
        <v>43009</v>
      </c>
      <c r="X402" s="5">
        <f t="shared" si="146"/>
        <v>988</v>
      </c>
    </row>
    <row r="403" spans="3:24" x14ac:dyDescent="0.35">
      <c r="C403" s="2">
        <f t="shared" si="126"/>
        <v>402</v>
      </c>
      <c r="D403" t="s">
        <v>401</v>
      </c>
      <c r="E403">
        <f t="shared" si="127"/>
        <v>28</v>
      </c>
      <c r="F403" t="str">
        <f t="shared" si="128"/>
        <v xml:space="preserve">//PR:Music_SP:Barney20171010 $1140   </v>
      </c>
      <c r="G403">
        <f t="shared" si="129"/>
        <v>32</v>
      </c>
      <c r="H403" t="str">
        <f t="shared" si="130"/>
        <v>//PR:Music_SP:Barney20171010 $1140</v>
      </c>
      <c r="I403">
        <f t="shared" si="131"/>
        <v>48</v>
      </c>
      <c r="J403" t="str">
        <f t="shared" si="132"/>
        <v>PR:Music_SP:Barney20171010 $1140</v>
      </c>
      <c r="K403" t="str">
        <f t="shared" si="133"/>
        <v>PR:Music SP:Barney20171010 $1140</v>
      </c>
      <c r="L403" t="str">
        <f t="shared" si="134"/>
        <v>Music SP:Barney20171010 $1140</v>
      </c>
      <c r="M403" t="str">
        <f t="shared" si="135"/>
        <v>Music Barney20171010 $1140</v>
      </c>
      <c r="N403" t="str">
        <f t="shared" si="136"/>
        <v>Music Barney20171010 $1140</v>
      </c>
      <c r="O403" t="str">
        <f t="shared" si="137"/>
        <v>Music Barney 20171010 $1140</v>
      </c>
      <c r="P403">
        <f t="shared" si="138"/>
        <v>6</v>
      </c>
      <c r="Q403">
        <f t="shared" si="139"/>
        <v>13</v>
      </c>
      <c r="R403">
        <f t="shared" si="140"/>
        <v>22</v>
      </c>
      <c r="S403" t="str">
        <f t="shared" si="141"/>
        <v>Music</v>
      </c>
      <c r="T403" t="str">
        <f t="shared" si="142"/>
        <v>Barney</v>
      </c>
      <c r="U403" t="str">
        <f t="shared" si="143"/>
        <v>20171010</v>
      </c>
      <c r="V403" t="str">
        <f t="shared" si="144"/>
        <v>1140</v>
      </c>
      <c r="W403" s="4">
        <f t="shared" si="145"/>
        <v>43018</v>
      </c>
      <c r="X403" s="5">
        <f t="shared" si="146"/>
        <v>1140</v>
      </c>
    </row>
    <row r="404" spans="3:24" x14ac:dyDescent="0.35">
      <c r="C404" s="2">
        <f t="shared" si="126"/>
        <v>403</v>
      </c>
      <c r="D404" t="s">
        <v>402</v>
      </c>
      <c r="E404">
        <f t="shared" si="127"/>
        <v>28</v>
      </c>
      <c r="F404" t="str">
        <f t="shared" si="128"/>
        <v xml:space="preserve">////PR:Books__SP:Alice20171019   $0  </v>
      </c>
      <c r="G404">
        <f t="shared" si="129"/>
        <v>32</v>
      </c>
      <c r="H404" t="str">
        <f t="shared" si="130"/>
        <v>////PR:Books__SP:Alice20171019   $0</v>
      </c>
      <c r="I404">
        <f t="shared" si="131"/>
        <v>48</v>
      </c>
      <c r="J404" t="str">
        <f t="shared" si="132"/>
        <v>PR:Books__SP:Alice20171019   $0</v>
      </c>
      <c r="K404" t="str">
        <f t="shared" si="133"/>
        <v>PR:Books  SP:Alice20171019   $0</v>
      </c>
      <c r="L404" t="str">
        <f t="shared" si="134"/>
        <v>Books  SP:Alice20171019   $0</v>
      </c>
      <c r="M404" t="str">
        <f t="shared" si="135"/>
        <v>Books  Alice20171019   $0</v>
      </c>
      <c r="N404" t="str">
        <f t="shared" si="136"/>
        <v>Books Alice20171019 $0</v>
      </c>
      <c r="O404" t="str">
        <f t="shared" si="137"/>
        <v>Books Alice 20171019 $0</v>
      </c>
      <c r="P404">
        <f t="shared" si="138"/>
        <v>6</v>
      </c>
      <c r="Q404">
        <f t="shared" si="139"/>
        <v>12</v>
      </c>
      <c r="R404">
        <f t="shared" si="140"/>
        <v>21</v>
      </c>
      <c r="S404" t="str">
        <f t="shared" si="141"/>
        <v>Books</v>
      </c>
      <c r="T404" t="str">
        <f t="shared" si="142"/>
        <v>Alice</v>
      </c>
      <c r="U404" t="str">
        <f t="shared" si="143"/>
        <v>20171019</v>
      </c>
      <c r="V404" t="str">
        <f t="shared" si="144"/>
        <v>0</v>
      </c>
      <c r="W404" s="4">
        <f t="shared" si="145"/>
        <v>43027</v>
      </c>
      <c r="X404" s="5">
        <f t="shared" si="146"/>
        <v>0</v>
      </c>
    </row>
    <row r="405" spans="3:24" x14ac:dyDescent="0.35">
      <c r="C405" s="2">
        <f t="shared" si="126"/>
        <v>404</v>
      </c>
      <c r="D405" t="s">
        <v>403</v>
      </c>
      <c r="E405">
        <f t="shared" si="127"/>
        <v>31</v>
      </c>
      <c r="F405" t="str">
        <f t="shared" si="128"/>
        <v xml:space="preserve">/////PR:Music_SP:David20171018   $0 </v>
      </c>
      <c r="G405">
        <f t="shared" si="129"/>
        <v>32</v>
      </c>
      <c r="H405" t="str">
        <f t="shared" si="130"/>
        <v>/////PR:Music_SP:David20171018   $0</v>
      </c>
      <c r="I405">
        <f t="shared" si="131"/>
        <v>48</v>
      </c>
      <c r="J405" t="str">
        <f t="shared" si="132"/>
        <v>PR:Music_SP:David20171018   $0</v>
      </c>
      <c r="K405" t="str">
        <f t="shared" si="133"/>
        <v>PR:Music SP:David20171018   $0</v>
      </c>
      <c r="L405" t="str">
        <f t="shared" si="134"/>
        <v>Music SP:David20171018   $0</v>
      </c>
      <c r="M405" t="str">
        <f t="shared" si="135"/>
        <v>Music David20171018   $0</v>
      </c>
      <c r="N405" t="str">
        <f t="shared" si="136"/>
        <v>Music David20171018 $0</v>
      </c>
      <c r="O405" t="str">
        <f t="shared" si="137"/>
        <v>Music David 20171018 $0</v>
      </c>
      <c r="P405">
        <f t="shared" si="138"/>
        <v>6</v>
      </c>
      <c r="Q405">
        <f t="shared" si="139"/>
        <v>12</v>
      </c>
      <c r="R405">
        <f t="shared" si="140"/>
        <v>21</v>
      </c>
      <c r="S405" t="str">
        <f t="shared" si="141"/>
        <v>Music</v>
      </c>
      <c r="T405" t="str">
        <f t="shared" si="142"/>
        <v>David</v>
      </c>
      <c r="U405" t="str">
        <f t="shared" si="143"/>
        <v>20171018</v>
      </c>
      <c r="V405" t="str">
        <f t="shared" si="144"/>
        <v>0</v>
      </c>
      <c r="W405" s="4">
        <f t="shared" si="145"/>
        <v>43026</v>
      </c>
      <c r="X405" s="5">
        <f t="shared" si="146"/>
        <v>0</v>
      </c>
    </row>
    <row r="406" spans="3:24" x14ac:dyDescent="0.35">
      <c r="C406" s="2">
        <f t="shared" si="126"/>
        <v>405</v>
      </c>
      <c r="D406" t="s">
        <v>404</v>
      </c>
      <c r="E406">
        <f t="shared" si="127"/>
        <v>29</v>
      </c>
      <c r="F406" t="str">
        <f t="shared" si="128"/>
        <v xml:space="preserve">/PR:Books_SP:David20171029  $0     </v>
      </c>
      <c r="G406">
        <f t="shared" si="129"/>
        <v>32</v>
      </c>
      <c r="H406" t="str">
        <f t="shared" si="130"/>
        <v>/PR:Books_SP:David20171029  $0</v>
      </c>
      <c r="I406">
        <f t="shared" si="131"/>
        <v>48</v>
      </c>
      <c r="J406" t="str">
        <f t="shared" si="132"/>
        <v>PR:Books_SP:David20171029  $0</v>
      </c>
      <c r="K406" t="str">
        <f t="shared" si="133"/>
        <v>PR:Books SP:David20171029  $0</v>
      </c>
      <c r="L406" t="str">
        <f t="shared" si="134"/>
        <v>Books SP:David20171029  $0</v>
      </c>
      <c r="M406" t="str">
        <f t="shared" si="135"/>
        <v>Books David20171029  $0</v>
      </c>
      <c r="N406" t="str">
        <f t="shared" si="136"/>
        <v>Books David20171029 $0</v>
      </c>
      <c r="O406" t="str">
        <f t="shared" si="137"/>
        <v>Books David 20171029 $0</v>
      </c>
      <c r="P406">
        <f t="shared" si="138"/>
        <v>6</v>
      </c>
      <c r="Q406">
        <f t="shared" si="139"/>
        <v>12</v>
      </c>
      <c r="R406">
        <f t="shared" si="140"/>
        <v>21</v>
      </c>
      <c r="S406" t="str">
        <f t="shared" si="141"/>
        <v>Books</v>
      </c>
      <c r="T406" t="str">
        <f t="shared" si="142"/>
        <v>David</v>
      </c>
      <c r="U406" t="str">
        <f t="shared" si="143"/>
        <v>20171029</v>
      </c>
      <c r="V406" t="str">
        <f t="shared" si="144"/>
        <v>0</v>
      </c>
      <c r="W406" s="4">
        <f t="shared" si="145"/>
        <v>43037</v>
      </c>
      <c r="X406" s="5">
        <f t="shared" si="146"/>
        <v>0</v>
      </c>
    </row>
    <row r="407" spans="3:24" x14ac:dyDescent="0.35">
      <c r="C407" s="2">
        <f t="shared" si="126"/>
        <v>406</v>
      </c>
      <c r="D407" t="s">
        <v>405</v>
      </c>
      <c r="E407">
        <f t="shared" si="127"/>
        <v>30</v>
      </c>
      <c r="F407" t="str">
        <f t="shared" si="128"/>
        <v xml:space="preserve">//PR:Clothing___SP:Barney20171028    $1976 </v>
      </c>
      <c r="G407">
        <f t="shared" si="129"/>
        <v>32</v>
      </c>
      <c r="H407" t="str">
        <f t="shared" si="130"/>
        <v>//PR:Clothing___SP:Barney20171028    $1976</v>
      </c>
      <c r="I407">
        <f t="shared" si="131"/>
        <v>54</v>
      </c>
      <c r="J407" t="str">
        <f t="shared" si="132"/>
        <v>PR:Clothing___SP:Barney20171028    $1976</v>
      </c>
      <c r="K407" t="str">
        <f t="shared" si="133"/>
        <v>PR:Clothing   SP:Barney20171028    $1976</v>
      </c>
      <c r="L407" t="str">
        <f t="shared" si="134"/>
        <v>Clothing   SP:Barney20171028    $1976</v>
      </c>
      <c r="M407" t="str">
        <f t="shared" si="135"/>
        <v>Clothing   Barney20171028    $1976</v>
      </c>
      <c r="N407" t="str">
        <f t="shared" si="136"/>
        <v>Clothing Barney20171028 $1976</v>
      </c>
      <c r="O407" t="str">
        <f t="shared" si="137"/>
        <v>Clothing Barney 20171028 $1976</v>
      </c>
      <c r="P407">
        <f t="shared" si="138"/>
        <v>9</v>
      </c>
      <c r="Q407">
        <f t="shared" si="139"/>
        <v>16</v>
      </c>
      <c r="R407">
        <f t="shared" si="140"/>
        <v>25</v>
      </c>
      <c r="S407" t="str">
        <f t="shared" si="141"/>
        <v>Clothing</v>
      </c>
      <c r="T407" t="str">
        <f t="shared" si="142"/>
        <v>Barney</v>
      </c>
      <c r="U407" t="str">
        <f t="shared" si="143"/>
        <v>20171028</v>
      </c>
      <c r="V407" t="str">
        <f t="shared" si="144"/>
        <v>1976</v>
      </c>
      <c r="W407" s="4">
        <f t="shared" si="145"/>
        <v>43036</v>
      </c>
      <c r="X407" s="5">
        <f t="shared" si="146"/>
        <v>1976</v>
      </c>
    </row>
    <row r="408" spans="3:24" x14ac:dyDescent="0.35">
      <c r="C408" s="2">
        <f t="shared" si="126"/>
        <v>407</v>
      </c>
      <c r="D408" t="s">
        <v>406</v>
      </c>
      <c r="E408">
        <f t="shared" si="127"/>
        <v>31</v>
      </c>
      <c r="F408" t="str">
        <f t="shared" si="128"/>
        <v xml:space="preserve">/////PR:Clothing_SP:David20171021    $847   </v>
      </c>
      <c r="G408">
        <f t="shared" si="129"/>
        <v>32</v>
      </c>
      <c r="H408" t="str">
        <f t="shared" si="130"/>
        <v>/////PR:Clothing_SP:David20171021    $847</v>
      </c>
      <c r="I408">
        <f t="shared" si="131"/>
        <v>55</v>
      </c>
      <c r="J408" t="str">
        <f t="shared" si="132"/>
        <v>PR:Clothing_SP:David20171021    $847</v>
      </c>
      <c r="K408" t="str">
        <f t="shared" si="133"/>
        <v>PR:Clothing SP:David20171021    $847</v>
      </c>
      <c r="L408" t="str">
        <f t="shared" si="134"/>
        <v>Clothing SP:David20171021    $847</v>
      </c>
      <c r="M408" t="str">
        <f t="shared" si="135"/>
        <v>Clothing David20171021    $847</v>
      </c>
      <c r="N408" t="str">
        <f t="shared" si="136"/>
        <v>Clothing David20171021 $847</v>
      </c>
      <c r="O408" t="str">
        <f t="shared" si="137"/>
        <v>Clothing David 20171021 $847</v>
      </c>
      <c r="P408">
        <f t="shared" si="138"/>
        <v>9</v>
      </c>
      <c r="Q408">
        <f t="shared" si="139"/>
        <v>15</v>
      </c>
      <c r="R408">
        <f t="shared" si="140"/>
        <v>24</v>
      </c>
      <c r="S408" t="str">
        <f t="shared" si="141"/>
        <v>Clothing</v>
      </c>
      <c r="T408" t="str">
        <f t="shared" si="142"/>
        <v>David</v>
      </c>
      <c r="U408" t="str">
        <f t="shared" si="143"/>
        <v>20171021</v>
      </c>
      <c r="V408" t="str">
        <f t="shared" si="144"/>
        <v>847</v>
      </c>
      <c r="W408" s="4">
        <f t="shared" si="145"/>
        <v>43029</v>
      </c>
      <c r="X408" s="5">
        <f t="shared" si="146"/>
        <v>847</v>
      </c>
    </row>
    <row r="409" spans="3:24" x14ac:dyDescent="0.35">
      <c r="C409" s="2">
        <f t="shared" si="126"/>
        <v>408</v>
      </c>
      <c r="D409" t="s">
        <v>407</v>
      </c>
      <c r="E409">
        <f t="shared" si="127"/>
        <v>28</v>
      </c>
      <c r="F409" t="str">
        <f t="shared" si="128"/>
        <v xml:space="preserve">/////PR:Music_____SP:David20171014    $1203     </v>
      </c>
      <c r="G409">
        <f t="shared" si="129"/>
        <v>32</v>
      </c>
      <c r="H409" t="str">
        <f t="shared" si="130"/>
        <v>/////PR:Music_____SP:David20171014    $1203</v>
      </c>
      <c r="I409">
        <f t="shared" si="131"/>
        <v>51</v>
      </c>
      <c r="J409" t="str">
        <f t="shared" si="132"/>
        <v>PR:Music_____SP:David20171014    $1203</v>
      </c>
      <c r="K409" t="str">
        <f t="shared" si="133"/>
        <v>PR:Music     SP:David20171014    $1203</v>
      </c>
      <c r="L409" t="str">
        <f t="shared" si="134"/>
        <v>Music     SP:David20171014    $1203</v>
      </c>
      <c r="M409" t="str">
        <f t="shared" si="135"/>
        <v>Music     David20171014    $1203</v>
      </c>
      <c r="N409" t="str">
        <f t="shared" si="136"/>
        <v>Music David20171014 $1203</v>
      </c>
      <c r="O409" t="str">
        <f t="shared" si="137"/>
        <v>Music David 20171014 $1203</v>
      </c>
      <c r="P409">
        <f t="shared" si="138"/>
        <v>6</v>
      </c>
      <c r="Q409">
        <f t="shared" si="139"/>
        <v>12</v>
      </c>
      <c r="R409">
        <f t="shared" si="140"/>
        <v>21</v>
      </c>
      <c r="S409" t="str">
        <f t="shared" si="141"/>
        <v>Music</v>
      </c>
      <c r="T409" t="str">
        <f t="shared" si="142"/>
        <v>David</v>
      </c>
      <c r="U409" t="str">
        <f t="shared" si="143"/>
        <v>20171014</v>
      </c>
      <c r="V409" t="str">
        <f t="shared" si="144"/>
        <v>1203</v>
      </c>
      <c r="W409" s="4">
        <f t="shared" si="145"/>
        <v>43022</v>
      </c>
      <c r="X409" s="5">
        <f t="shared" si="146"/>
        <v>1203</v>
      </c>
    </row>
    <row r="410" spans="3:24" x14ac:dyDescent="0.35">
      <c r="C410" s="2">
        <f t="shared" si="126"/>
        <v>409</v>
      </c>
      <c r="D410" t="s">
        <v>408</v>
      </c>
      <c r="E410">
        <f t="shared" si="127"/>
        <v>31</v>
      </c>
      <c r="F410" t="str">
        <f t="shared" si="128"/>
        <v xml:space="preserve">/PR:Music_____SP:David20171023     $0    </v>
      </c>
      <c r="G410">
        <f t="shared" si="129"/>
        <v>32</v>
      </c>
      <c r="H410" t="str">
        <f t="shared" si="130"/>
        <v>/PR:Music_____SP:David20171023     $0</v>
      </c>
      <c r="I410">
        <f t="shared" si="131"/>
        <v>48</v>
      </c>
      <c r="J410" t="str">
        <f t="shared" si="132"/>
        <v>PR:Music_____SP:David20171023     $0</v>
      </c>
      <c r="K410" t="str">
        <f t="shared" si="133"/>
        <v>PR:Music     SP:David20171023     $0</v>
      </c>
      <c r="L410" t="str">
        <f t="shared" si="134"/>
        <v>Music     SP:David20171023     $0</v>
      </c>
      <c r="M410" t="str">
        <f t="shared" si="135"/>
        <v>Music     David20171023     $0</v>
      </c>
      <c r="N410" t="str">
        <f t="shared" si="136"/>
        <v>Music David20171023 $0</v>
      </c>
      <c r="O410" t="str">
        <f t="shared" si="137"/>
        <v>Music David 20171023 $0</v>
      </c>
      <c r="P410">
        <f t="shared" si="138"/>
        <v>6</v>
      </c>
      <c r="Q410">
        <f t="shared" si="139"/>
        <v>12</v>
      </c>
      <c r="R410">
        <f t="shared" si="140"/>
        <v>21</v>
      </c>
      <c r="S410" t="str">
        <f t="shared" si="141"/>
        <v>Music</v>
      </c>
      <c r="T410" t="str">
        <f t="shared" si="142"/>
        <v>David</v>
      </c>
      <c r="U410" t="str">
        <f t="shared" si="143"/>
        <v>20171023</v>
      </c>
      <c r="V410" t="str">
        <f t="shared" si="144"/>
        <v>0</v>
      </c>
      <c r="W410" s="4">
        <f t="shared" si="145"/>
        <v>43031</v>
      </c>
      <c r="X410" s="5">
        <f t="shared" si="146"/>
        <v>0</v>
      </c>
    </row>
    <row r="411" spans="3:24" x14ac:dyDescent="0.35">
      <c r="C411" s="2">
        <f t="shared" si="126"/>
        <v>410</v>
      </c>
      <c r="D411" t="s">
        <v>409</v>
      </c>
      <c r="E411">
        <f t="shared" si="127"/>
        <v>31</v>
      </c>
      <c r="F411" t="str">
        <f t="shared" si="128"/>
        <v xml:space="preserve">/PR:Music_____SP:Alice20171025     $1069 </v>
      </c>
      <c r="G411">
        <f t="shared" si="129"/>
        <v>32</v>
      </c>
      <c r="H411" t="str">
        <f t="shared" si="130"/>
        <v>/PR:Music_____SP:Alice20171025     $1069</v>
      </c>
      <c r="I411">
        <f t="shared" si="131"/>
        <v>57</v>
      </c>
      <c r="J411" t="str">
        <f t="shared" si="132"/>
        <v>PR:Music_____SP:Alice20171025     $1069</v>
      </c>
      <c r="K411" t="str">
        <f t="shared" si="133"/>
        <v>PR:Music     SP:Alice20171025     $1069</v>
      </c>
      <c r="L411" t="str">
        <f t="shared" si="134"/>
        <v>Music     SP:Alice20171025     $1069</v>
      </c>
      <c r="M411" t="str">
        <f t="shared" si="135"/>
        <v>Music     Alice20171025     $1069</v>
      </c>
      <c r="N411" t="str">
        <f t="shared" si="136"/>
        <v>Music Alice20171025 $1069</v>
      </c>
      <c r="O411" t="str">
        <f t="shared" si="137"/>
        <v>Music Alice 20171025 $1069</v>
      </c>
      <c r="P411">
        <f t="shared" si="138"/>
        <v>6</v>
      </c>
      <c r="Q411">
        <f t="shared" si="139"/>
        <v>12</v>
      </c>
      <c r="R411">
        <f t="shared" si="140"/>
        <v>21</v>
      </c>
      <c r="S411" t="str">
        <f t="shared" si="141"/>
        <v>Music</v>
      </c>
      <c r="T411" t="str">
        <f t="shared" si="142"/>
        <v>Alice</v>
      </c>
      <c r="U411" t="str">
        <f t="shared" si="143"/>
        <v>20171025</v>
      </c>
      <c r="V411" t="str">
        <f t="shared" si="144"/>
        <v>1069</v>
      </c>
      <c r="W411" s="4">
        <f t="shared" si="145"/>
        <v>43033</v>
      </c>
      <c r="X411" s="5">
        <f t="shared" si="146"/>
        <v>1069</v>
      </c>
    </row>
    <row r="412" spans="3:24" x14ac:dyDescent="0.35">
      <c r="C412" s="2">
        <f t="shared" si="126"/>
        <v>411</v>
      </c>
      <c r="D412" t="s">
        <v>410</v>
      </c>
      <c r="E412">
        <f t="shared" si="127"/>
        <v>30</v>
      </c>
      <c r="F412" t="str">
        <f t="shared" si="128"/>
        <v xml:space="preserve">/PR:Books_____SP:David20171026    $837  </v>
      </c>
      <c r="G412">
        <f t="shared" si="129"/>
        <v>32</v>
      </c>
      <c r="H412" t="str">
        <f t="shared" si="130"/>
        <v>/PR:Books_____SP:David20171026    $837</v>
      </c>
      <c r="I412">
        <f t="shared" si="131"/>
        <v>55</v>
      </c>
      <c r="J412" t="str">
        <f t="shared" si="132"/>
        <v>PR:Books_____SP:David20171026    $837</v>
      </c>
      <c r="K412" t="str">
        <f t="shared" si="133"/>
        <v>PR:Books     SP:David20171026    $837</v>
      </c>
      <c r="L412" t="str">
        <f t="shared" si="134"/>
        <v>Books     SP:David20171026    $837</v>
      </c>
      <c r="M412" t="str">
        <f t="shared" si="135"/>
        <v>Books     David20171026    $837</v>
      </c>
      <c r="N412" t="str">
        <f t="shared" si="136"/>
        <v>Books David20171026 $837</v>
      </c>
      <c r="O412" t="str">
        <f t="shared" si="137"/>
        <v>Books David 20171026 $837</v>
      </c>
      <c r="P412">
        <f t="shared" si="138"/>
        <v>6</v>
      </c>
      <c r="Q412">
        <f t="shared" si="139"/>
        <v>12</v>
      </c>
      <c r="R412">
        <f t="shared" si="140"/>
        <v>21</v>
      </c>
      <c r="S412" t="str">
        <f t="shared" si="141"/>
        <v>Books</v>
      </c>
      <c r="T412" t="str">
        <f t="shared" si="142"/>
        <v>David</v>
      </c>
      <c r="U412" t="str">
        <f t="shared" si="143"/>
        <v>20171026</v>
      </c>
      <c r="V412" t="str">
        <f t="shared" si="144"/>
        <v>837</v>
      </c>
      <c r="W412" s="4">
        <f t="shared" si="145"/>
        <v>43034</v>
      </c>
      <c r="X412" s="5">
        <f t="shared" si="146"/>
        <v>837</v>
      </c>
    </row>
    <row r="413" spans="3:24" x14ac:dyDescent="0.35">
      <c r="C413" s="2">
        <f t="shared" si="126"/>
        <v>412</v>
      </c>
      <c r="D413" t="s">
        <v>411</v>
      </c>
      <c r="E413">
        <f t="shared" si="127"/>
        <v>30</v>
      </c>
      <c r="F413" t="str">
        <f t="shared" si="128"/>
        <v xml:space="preserve">//PR:Games___SP:Carol20171027     $2326   </v>
      </c>
      <c r="G413">
        <f t="shared" si="129"/>
        <v>32</v>
      </c>
      <c r="H413" t="str">
        <f t="shared" si="130"/>
        <v>//PR:Games___SP:Carol20171027     $2326</v>
      </c>
      <c r="I413">
        <f t="shared" si="131"/>
        <v>54</v>
      </c>
      <c r="J413" t="str">
        <f t="shared" si="132"/>
        <v>PR:Games___SP:Carol20171027     $2326</v>
      </c>
      <c r="K413" t="str">
        <f t="shared" si="133"/>
        <v>PR:Games   SP:Carol20171027     $2326</v>
      </c>
      <c r="L413" t="str">
        <f t="shared" si="134"/>
        <v>Games   SP:Carol20171027     $2326</v>
      </c>
      <c r="M413" t="str">
        <f t="shared" si="135"/>
        <v>Games   Carol20171027     $2326</v>
      </c>
      <c r="N413" t="str">
        <f t="shared" si="136"/>
        <v>Games Carol20171027 $2326</v>
      </c>
      <c r="O413" t="str">
        <f t="shared" si="137"/>
        <v>Games Carol 20171027 $2326</v>
      </c>
      <c r="P413">
        <f t="shared" si="138"/>
        <v>6</v>
      </c>
      <c r="Q413">
        <f t="shared" si="139"/>
        <v>12</v>
      </c>
      <c r="R413">
        <f t="shared" si="140"/>
        <v>21</v>
      </c>
      <c r="S413" t="str">
        <f t="shared" si="141"/>
        <v>Games</v>
      </c>
      <c r="T413" t="str">
        <f t="shared" si="142"/>
        <v>Carol</v>
      </c>
      <c r="U413" t="str">
        <f t="shared" si="143"/>
        <v>20171027</v>
      </c>
      <c r="V413" t="str">
        <f t="shared" si="144"/>
        <v>2326</v>
      </c>
      <c r="W413" s="4">
        <f t="shared" si="145"/>
        <v>43035</v>
      </c>
      <c r="X413" s="5">
        <f t="shared" si="146"/>
        <v>2326</v>
      </c>
    </row>
    <row r="414" spans="3:24" x14ac:dyDescent="0.35">
      <c r="C414" s="2">
        <f t="shared" si="126"/>
        <v>413</v>
      </c>
      <c r="D414" t="s">
        <v>412</v>
      </c>
      <c r="E414">
        <f t="shared" si="127"/>
        <v>28</v>
      </c>
      <c r="F414" t="str">
        <f t="shared" si="128"/>
        <v xml:space="preserve">////PR:Music__SP:Carol20171027   $1060   </v>
      </c>
      <c r="G414">
        <f t="shared" si="129"/>
        <v>32</v>
      </c>
      <c r="H414" t="str">
        <f t="shared" si="130"/>
        <v>////PR:Music__SP:Carol20171027   $1060</v>
      </c>
      <c r="I414">
        <f t="shared" si="131"/>
        <v>48</v>
      </c>
      <c r="J414" t="str">
        <f t="shared" si="132"/>
        <v>PR:Music__SP:Carol20171027   $1060</v>
      </c>
      <c r="K414" t="str">
        <f t="shared" si="133"/>
        <v>PR:Music  SP:Carol20171027   $1060</v>
      </c>
      <c r="L414" t="str">
        <f t="shared" si="134"/>
        <v>Music  SP:Carol20171027   $1060</v>
      </c>
      <c r="M414" t="str">
        <f t="shared" si="135"/>
        <v>Music  Carol20171027   $1060</v>
      </c>
      <c r="N414" t="str">
        <f t="shared" si="136"/>
        <v>Music Carol20171027 $1060</v>
      </c>
      <c r="O414" t="str">
        <f t="shared" si="137"/>
        <v>Music Carol 20171027 $1060</v>
      </c>
      <c r="P414">
        <f t="shared" si="138"/>
        <v>6</v>
      </c>
      <c r="Q414">
        <f t="shared" si="139"/>
        <v>12</v>
      </c>
      <c r="R414">
        <f t="shared" si="140"/>
        <v>21</v>
      </c>
      <c r="S414" t="str">
        <f t="shared" si="141"/>
        <v>Music</v>
      </c>
      <c r="T414" t="str">
        <f t="shared" si="142"/>
        <v>Carol</v>
      </c>
      <c r="U414" t="str">
        <f t="shared" si="143"/>
        <v>20171027</v>
      </c>
      <c r="V414" t="str">
        <f t="shared" si="144"/>
        <v>1060</v>
      </c>
      <c r="W414" s="4">
        <f t="shared" si="145"/>
        <v>43035</v>
      </c>
      <c r="X414" s="5">
        <f t="shared" si="146"/>
        <v>1060</v>
      </c>
    </row>
    <row r="415" spans="3:24" x14ac:dyDescent="0.35">
      <c r="C415" s="2">
        <f t="shared" si="126"/>
        <v>414</v>
      </c>
      <c r="D415" t="s">
        <v>413</v>
      </c>
      <c r="E415">
        <f t="shared" si="127"/>
        <v>31</v>
      </c>
      <c r="F415" t="str">
        <f t="shared" si="128"/>
        <v xml:space="preserve">/PR:Books_SP:David2017105 $540 </v>
      </c>
      <c r="G415">
        <f t="shared" si="129"/>
        <v>32</v>
      </c>
      <c r="H415" t="str">
        <f t="shared" si="130"/>
        <v>/PR:Books_SP:David2017105 $540</v>
      </c>
      <c r="I415">
        <f t="shared" si="131"/>
        <v>48</v>
      </c>
      <c r="J415" t="str">
        <f t="shared" si="132"/>
        <v>PR:Books_SP:David2017105 $540</v>
      </c>
      <c r="K415" t="str">
        <f t="shared" si="133"/>
        <v>PR:Books SP:David2017105 $540</v>
      </c>
      <c r="L415" t="str">
        <f t="shared" si="134"/>
        <v>Books SP:David2017105 $540</v>
      </c>
      <c r="M415" t="str">
        <f t="shared" si="135"/>
        <v>Books David2017105 $540</v>
      </c>
      <c r="N415" t="str">
        <f t="shared" si="136"/>
        <v>Books David2017105 $540</v>
      </c>
      <c r="O415" t="str">
        <f t="shared" si="137"/>
        <v>Books David 2017105 $540</v>
      </c>
      <c r="P415">
        <f t="shared" si="138"/>
        <v>6</v>
      </c>
      <c r="Q415">
        <f t="shared" si="139"/>
        <v>12</v>
      </c>
      <c r="R415">
        <f t="shared" si="140"/>
        <v>20</v>
      </c>
      <c r="S415" t="str">
        <f t="shared" si="141"/>
        <v>Books</v>
      </c>
      <c r="T415" t="str">
        <f t="shared" si="142"/>
        <v>David</v>
      </c>
      <c r="U415" t="str">
        <f t="shared" si="143"/>
        <v>2017105</v>
      </c>
      <c r="V415" t="str">
        <f t="shared" si="144"/>
        <v>540</v>
      </c>
      <c r="W415" s="4">
        <f t="shared" si="145"/>
        <v>43013</v>
      </c>
      <c r="X415" s="5">
        <f t="shared" si="146"/>
        <v>540</v>
      </c>
    </row>
    <row r="416" spans="3:24" x14ac:dyDescent="0.35">
      <c r="C416" s="2">
        <f t="shared" si="126"/>
        <v>415</v>
      </c>
      <c r="D416" t="s">
        <v>414</v>
      </c>
      <c r="E416">
        <f t="shared" si="127"/>
        <v>31</v>
      </c>
      <c r="F416" t="str">
        <f t="shared" si="128"/>
        <v xml:space="preserve">/////PR:Music_SP:Barney2017106   $973     </v>
      </c>
      <c r="G416">
        <f t="shared" si="129"/>
        <v>32</v>
      </c>
      <c r="H416" t="str">
        <f t="shared" si="130"/>
        <v>/////PR:Music_SP:Barney2017106   $973</v>
      </c>
      <c r="I416">
        <f t="shared" si="131"/>
        <v>51</v>
      </c>
      <c r="J416" t="str">
        <f t="shared" si="132"/>
        <v>PR:Music_SP:Barney2017106   $973</v>
      </c>
      <c r="K416" t="str">
        <f t="shared" si="133"/>
        <v>PR:Music SP:Barney2017106   $973</v>
      </c>
      <c r="L416" t="str">
        <f t="shared" si="134"/>
        <v>Music SP:Barney2017106   $973</v>
      </c>
      <c r="M416" t="str">
        <f t="shared" si="135"/>
        <v>Music Barney2017106   $973</v>
      </c>
      <c r="N416" t="str">
        <f t="shared" si="136"/>
        <v>Music Barney2017106 $973</v>
      </c>
      <c r="O416" t="str">
        <f t="shared" si="137"/>
        <v>Music Barney 2017106 $973</v>
      </c>
      <c r="P416">
        <f t="shared" si="138"/>
        <v>6</v>
      </c>
      <c r="Q416">
        <f t="shared" si="139"/>
        <v>13</v>
      </c>
      <c r="R416">
        <f t="shared" si="140"/>
        <v>21</v>
      </c>
      <c r="S416" t="str">
        <f t="shared" si="141"/>
        <v>Music</v>
      </c>
      <c r="T416" t="str">
        <f t="shared" si="142"/>
        <v>Barney</v>
      </c>
      <c r="U416" t="str">
        <f t="shared" si="143"/>
        <v>2017106</v>
      </c>
      <c r="V416" t="str">
        <f t="shared" si="144"/>
        <v>973</v>
      </c>
      <c r="W416" s="4">
        <f t="shared" si="145"/>
        <v>43014</v>
      </c>
      <c r="X416" s="5">
        <f t="shared" si="146"/>
        <v>973</v>
      </c>
    </row>
    <row r="417" spans="3:24" x14ac:dyDescent="0.35">
      <c r="C417" s="2">
        <f t="shared" si="126"/>
        <v>416</v>
      </c>
      <c r="D417" t="s">
        <v>415</v>
      </c>
      <c r="E417">
        <f t="shared" si="127"/>
        <v>30</v>
      </c>
      <c r="F417" t="str">
        <f t="shared" si="128"/>
        <v xml:space="preserve">////PR:Games__SP:Alice20171018 $2109   </v>
      </c>
      <c r="G417">
        <f t="shared" si="129"/>
        <v>32</v>
      </c>
      <c r="H417" t="str">
        <f t="shared" si="130"/>
        <v>////PR:Games__SP:Alice20171018 $2109</v>
      </c>
      <c r="I417">
        <f t="shared" si="131"/>
        <v>57</v>
      </c>
      <c r="J417" t="str">
        <f t="shared" si="132"/>
        <v>PR:Games__SP:Alice20171018 $2109</v>
      </c>
      <c r="K417" t="str">
        <f t="shared" si="133"/>
        <v>PR:Games  SP:Alice20171018 $2109</v>
      </c>
      <c r="L417" t="str">
        <f t="shared" si="134"/>
        <v>Games  SP:Alice20171018 $2109</v>
      </c>
      <c r="M417" t="str">
        <f t="shared" si="135"/>
        <v>Games  Alice20171018 $2109</v>
      </c>
      <c r="N417" t="str">
        <f t="shared" si="136"/>
        <v>Games Alice20171018 $2109</v>
      </c>
      <c r="O417" t="str">
        <f t="shared" si="137"/>
        <v>Games Alice 20171018 $2109</v>
      </c>
      <c r="P417">
        <f t="shared" si="138"/>
        <v>6</v>
      </c>
      <c r="Q417">
        <f t="shared" si="139"/>
        <v>12</v>
      </c>
      <c r="R417">
        <f t="shared" si="140"/>
        <v>21</v>
      </c>
      <c r="S417" t="str">
        <f t="shared" si="141"/>
        <v>Games</v>
      </c>
      <c r="T417" t="str">
        <f t="shared" si="142"/>
        <v>Alice</v>
      </c>
      <c r="U417" t="str">
        <f t="shared" si="143"/>
        <v>20171018</v>
      </c>
      <c r="V417" t="str">
        <f t="shared" si="144"/>
        <v>2109</v>
      </c>
      <c r="W417" s="4">
        <f t="shared" si="145"/>
        <v>43026</v>
      </c>
      <c r="X417" s="5">
        <f t="shared" si="146"/>
        <v>2109</v>
      </c>
    </row>
    <row r="418" spans="3:24" x14ac:dyDescent="0.35">
      <c r="C418" s="2">
        <f t="shared" si="126"/>
        <v>417</v>
      </c>
      <c r="D418" t="s">
        <v>416</v>
      </c>
      <c r="E418">
        <f t="shared" si="127"/>
        <v>30</v>
      </c>
      <c r="F418" t="str">
        <f t="shared" si="128"/>
        <v xml:space="preserve">////PR:Books__SP:Carol20171016 $618     </v>
      </c>
      <c r="G418">
        <f t="shared" si="129"/>
        <v>32</v>
      </c>
      <c r="H418" t="str">
        <f t="shared" si="130"/>
        <v>////PR:Books__SP:Carol20171016 $618</v>
      </c>
      <c r="I418">
        <f t="shared" si="131"/>
        <v>56</v>
      </c>
      <c r="J418" t="str">
        <f t="shared" si="132"/>
        <v>PR:Books__SP:Carol20171016 $618</v>
      </c>
      <c r="K418" t="str">
        <f t="shared" si="133"/>
        <v>PR:Books  SP:Carol20171016 $618</v>
      </c>
      <c r="L418" t="str">
        <f t="shared" si="134"/>
        <v>Books  SP:Carol20171016 $618</v>
      </c>
      <c r="M418" t="str">
        <f t="shared" si="135"/>
        <v>Books  Carol20171016 $618</v>
      </c>
      <c r="N418" t="str">
        <f t="shared" si="136"/>
        <v>Books Carol20171016 $618</v>
      </c>
      <c r="O418" t="str">
        <f t="shared" si="137"/>
        <v>Books Carol 20171016 $618</v>
      </c>
      <c r="P418">
        <f t="shared" si="138"/>
        <v>6</v>
      </c>
      <c r="Q418">
        <f t="shared" si="139"/>
        <v>12</v>
      </c>
      <c r="R418">
        <f t="shared" si="140"/>
        <v>21</v>
      </c>
      <c r="S418" t="str">
        <f t="shared" si="141"/>
        <v>Books</v>
      </c>
      <c r="T418" t="str">
        <f t="shared" si="142"/>
        <v>Carol</v>
      </c>
      <c r="U418" t="str">
        <f t="shared" si="143"/>
        <v>20171016</v>
      </c>
      <c r="V418" t="str">
        <f t="shared" si="144"/>
        <v>618</v>
      </c>
      <c r="W418" s="4">
        <f t="shared" si="145"/>
        <v>43024</v>
      </c>
      <c r="X418" s="5">
        <f t="shared" si="146"/>
        <v>618</v>
      </c>
    </row>
    <row r="419" spans="3:24" x14ac:dyDescent="0.35">
      <c r="C419" s="2">
        <f t="shared" si="126"/>
        <v>418</v>
      </c>
      <c r="D419" t="s">
        <v>417</v>
      </c>
      <c r="E419">
        <f t="shared" si="127"/>
        <v>29</v>
      </c>
      <c r="F419" t="str">
        <f t="shared" si="128"/>
        <v xml:space="preserve">/////PR:Clothing_SP:Carol20171016   $1602    </v>
      </c>
      <c r="G419">
        <f t="shared" si="129"/>
        <v>32</v>
      </c>
      <c r="H419" t="str">
        <f t="shared" si="130"/>
        <v>/////PR:Clothing_SP:Carol20171016   $1602</v>
      </c>
      <c r="I419">
        <f t="shared" si="131"/>
        <v>50</v>
      </c>
      <c r="J419" t="str">
        <f t="shared" si="132"/>
        <v>PR:Clothing_SP:Carol20171016   $1602</v>
      </c>
      <c r="K419" t="str">
        <f t="shared" si="133"/>
        <v>PR:Clothing SP:Carol20171016   $1602</v>
      </c>
      <c r="L419" t="str">
        <f t="shared" si="134"/>
        <v>Clothing SP:Carol20171016   $1602</v>
      </c>
      <c r="M419" t="str">
        <f t="shared" si="135"/>
        <v>Clothing Carol20171016   $1602</v>
      </c>
      <c r="N419" t="str">
        <f t="shared" si="136"/>
        <v>Clothing Carol20171016 $1602</v>
      </c>
      <c r="O419" t="str">
        <f t="shared" si="137"/>
        <v>Clothing Carol 20171016 $1602</v>
      </c>
      <c r="P419">
        <f t="shared" si="138"/>
        <v>9</v>
      </c>
      <c r="Q419">
        <f t="shared" si="139"/>
        <v>15</v>
      </c>
      <c r="R419">
        <f t="shared" si="140"/>
        <v>24</v>
      </c>
      <c r="S419" t="str">
        <f t="shared" si="141"/>
        <v>Clothing</v>
      </c>
      <c r="T419" t="str">
        <f t="shared" si="142"/>
        <v>Carol</v>
      </c>
      <c r="U419" t="str">
        <f t="shared" si="143"/>
        <v>20171016</v>
      </c>
      <c r="V419" t="str">
        <f t="shared" si="144"/>
        <v>1602</v>
      </c>
      <c r="W419" s="4">
        <f t="shared" si="145"/>
        <v>43024</v>
      </c>
      <c r="X419" s="5">
        <f t="shared" si="146"/>
        <v>1602</v>
      </c>
    </row>
    <row r="420" spans="3:24" x14ac:dyDescent="0.35">
      <c r="C420" s="2">
        <f t="shared" si="126"/>
        <v>419</v>
      </c>
      <c r="D420" t="s">
        <v>418</v>
      </c>
      <c r="E420">
        <f t="shared" si="127"/>
        <v>30</v>
      </c>
      <c r="F420" t="str">
        <f t="shared" si="128"/>
        <v xml:space="preserve">/////PR:Games__SP:Carol20171031   $0   </v>
      </c>
      <c r="G420">
        <f t="shared" si="129"/>
        <v>32</v>
      </c>
      <c r="H420" t="str">
        <f t="shared" si="130"/>
        <v>/////PR:Games__SP:Carol20171031   $0</v>
      </c>
      <c r="I420">
        <f t="shared" si="131"/>
        <v>48</v>
      </c>
      <c r="J420" t="str">
        <f t="shared" si="132"/>
        <v>PR:Games__SP:Carol20171031   $0</v>
      </c>
      <c r="K420" t="str">
        <f t="shared" si="133"/>
        <v>PR:Games  SP:Carol20171031   $0</v>
      </c>
      <c r="L420" t="str">
        <f t="shared" si="134"/>
        <v>Games  SP:Carol20171031   $0</v>
      </c>
      <c r="M420" t="str">
        <f t="shared" si="135"/>
        <v>Games  Carol20171031   $0</v>
      </c>
      <c r="N420" t="str">
        <f t="shared" si="136"/>
        <v>Games Carol20171031 $0</v>
      </c>
      <c r="O420" t="str">
        <f t="shared" si="137"/>
        <v>Games Carol 20171031 $0</v>
      </c>
      <c r="P420">
        <f t="shared" si="138"/>
        <v>6</v>
      </c>
      <c r="Q420">
        <f t="shared" si="139"/>
        <v>12</v>
      </c>
      <c r="R420">
        <f t="shared" si="140"/>
        <v>21</v>
      </c>
      <c r="S420" t="str">
        <f t="shared" si="141"/>
        <v>Games</v>
      </c>
      <c r="T420" t="str">
        <f t="shared" si="142"/>
        <v>Carol</v>
      </c>
      <c r="U420" t="str">
        <f t="shared" si="143"/>
        <v>20171031</v>
      </c>
      <c r="V420" t="str">
        <f t="shared" si="144"/>
        <v>0</v>
      </c>
      <c r="W420" s="4">
        <f t="shared" si="145"/>
        <v>43039</v>
      </c>
      <c r="X420" s="5">
        <f t="shared" si="146"/>
        <v>0</v>
      </c>
    </row>
    <row r="421" spans="3:24" x14ac:dyDescent="0.35">
      <c r="C421" s="2">
        <f t="shared" si="126"/>
        <v>420</v>
      </c>
      <c r="D421" t="s">
        <v>419</v>
      </c>
      <c r="E421">
        <f t="shared" si="127"/>
        <v>30</v>
      </c>
      <c r="F421" t="str">
        <f t="shared" si="128"/>
        <v xml:space="preserve">//PR:Games__SP:Carol2017104     $0 </v>
      </c>
      <c r="G421">
        <f t="shared" si="129"/>
        <v>32</v>
      </c>
      <c r="H421" t="str">
        <f t="shared" si="130"/>
        <v>//PR:Games__SP:Carol2017104     $0</v>
      </c>
      <c r="I421">
        <f t="shared" si="131"/>
        <v>48</v>
      </c>
      <c r="J421" t="str">
        <f t="shared" si="132"/>
        <v>PR:Games__SP:Carol2017104     $0</v>
      </c>
      <c r="K421" t="str">
        <f t="shared" si="133"/>
        <v>PR:Games  SP:Carol2017104     $0</v>
      </c>
      <c r="L421" t="str">
        <f t="shared" si="134"/>
        <v>Games  SP:Carol2017104     $0</v>
      </c>
      <c r="M421" t="str">
        <f t="shared" si="135"/>
        <v>Games  Carol2017104     $0</v>
      </c>
      <c r="N421" t="str">
        <f t="shared" si="136"/>
        <v>Games Carol2017104 $0</v>
      </c>
      <c r="O421" t="str">
        <f t="shared" si="137"/>
        <v>Games Carol 2017104 $0</v>
      </c>
      <c r="P421">
        <f t="shared" si="138"/>
        <v>6</v>
      </c>
      <c r="Q421">
        <f t="shared" si="139"/>
        <v>12</v>
      </c>
      <c r="R421">
        <f t="shared" si="140"/>
        <v>20</v>
      </c>
      <c r="S421" t="str">
        <f t="shared" si="141"/>
        <v>Games</v>
      </c>
      <c r="T421" t="str">
        <f t="shared" si="142"/>
        <v>Carol</v>
      </c>
      <c r="U421" t="str">
        <f t="shared" si="143"/>
        <v>2017104</v>
      </c>
      <c r="V421" t="str">
        <f t="shared" si="144"/>
        <v>0</v>
      </c>
      <c r="W421" s="4">
        <f t="shared" si="145"/>
        <v>43012</v>
      </c>
      <c r="X421" s="5">
        <f t="shared" si="146"/>
        <v>0</v>
      </c>
    </row>
    <row r="422" spans="3:24" x14ac:dyDescent="0.35">
      <c r="C422" s="2">
        <f t="shared" si="126"/>
        <v>421</v>
      </c>
      <c r="D422" t="s">
        <v>420</v>
      </c>
      <c r="E422">
        <f t="shared" si="127"/>
        <v>29</v>
      </c>
      <c r="F422" t="str">
        <f t="shared" si="128"/>
        <v xml:space="preserve">/PR:Games_____SP:Carol20171013  $1546    </v>
      </c>
      <c r="G422">
        <f t="shared" si="129"/>
        <v>32</v>
      </c>
      <c r="H422" t="str">
        <f t="shared" si="130"/>
        <v>/PR:Games_____SP:Carol20171013  $1546</v>
      </c>
      <c r="I422">
        <f t="shared" si="131"/>
        <v>54</v>
      </c>
      <c r="J422" t="str">
        <f t="shared" si="132"/>
        <v>PR:Games_____SP:Carol20171013  $1546</v>
      </c>
      <c r="K422" t="str">
        <f t="shared" si="133"/>
        <v>PR:Games     SP:Carol20171013  $1546</v>
      </c>
      <c r="L422" t="str">
        <f t="shared" si="134"/>
        <v>Games     SP:Carol20171013  $1546</v>
      </c>
      <c r="M422" t="str">
        <f t="shared" si="135"/>
        <v>Games     Carol20171013  $1546</v>
      </c>
      <c r="N422" t="str">
        <f t="shared" si="136"/>
        <v>Games Carol20171013 $1546</v>
      </c>
      <c r="O422" t="str">
        <f t="shared" si="137"/>
        <v>Games Carol 20171013 $1546</v>
      </c>
      <c r="P422">
        <f t="shared" si="138"/>
        <v>6</v>
      </c>
      <c r="Q422">
        <f t="shared" si="139"/>
        <v>12</v>
      </c>
      <c r="R422">
        <f t="shared" si="140"/>
        <v>21</v>
      </c>
      <c r="S422" t="str">
        <f t="shared" si="141"/>
        <v>Games</v>
      </c>
      <c r="T422" t="str">
        <f t="shared" si="142"/>
        <v>Carol</v>
      </c>
      <c r="U422" t="str">
        <f t="shared" si="143"/>
        <v>20171013</v>
      </c>
      <c r="V422" t="str">
        <f t="shared" si="144"/>
        <v>1546</v>
      </c>
      <c r="W422" s="4">
        <f t="shared" si="145"/>
        <v>43021</v>
      </c>
      <c r="X422" s="5">
        <f t="shared" si="146"/>
        <v>1546</v>
      </c>
    </row>
    <row r="423" spans="3:24" x14ac:dyDescent="0.35">
      <c r="C423" s="2">
        <f t="shared" si="126"/>
        <v>422</v>
      </c>
      <c r="D423" t="s">
        <v>421</v>
      </c>
      <c r="E423">
        <f t="shared" si="127"/>
        <v>28</v>
      </c>
      <c r="F423" t="str">
        <f t="shared" si="128"/>
        <v xml:space="preserve">///PR:Games_____SP:Carol2017108  $2008  </v>
      </c>
      <c r="G423">
        <f t="shared" si="129"/>
        <v>32</v>
      </c>
      <c r="H423" t="str">
        <f t="shared" si="130"/>
        <v>///PR:Games_____SP:Carol2017108  $2008</v>
      </c>
      <c r="I423">
        <f t="shared" si="131"/>
        <v>56</v>
      </c>
      <c r="J423" t="str">
        <f t="shared" si="132"/>
        <v>PR:Games_____SP:Carol2017108  $2008</v>
      </c>
      <c r="K423" t="str">
        <f t="shared" si="133"/>
        <v>PR:Games     SP:Carol2017108  $2008</v>
      </c>
      <c r="L423" t="str">
        <f t="shared" si="134"/>
        <v>Games     SP:Carol2017108  $2008</v>
      </c>
      <c r="M423" t="str">
        <f t="shared" si="135"/>
        <v>Games     Carol2017108  $2008</v>
      </c>
      <c r="N423" t="str">
        <f t="shared" si="136"/>
        <v>Games Carol2017108 $2008</v>
      </c>
      <c r="O423" t="str">
        <f t="shared" si="137"/>
        <v>Games Carol 2017108 $2008</v>
      </c>
      <c r="P423">
        <f t="shared" si="138"/>
        <v>6</v>
      </c>
      <c r="Q423">
        <f t="shared" si="139"/>
        <v>12</v>
      </c>
      <c r="R423">
        <f t="shared" si="140"/>
        <v>20</v>
      </c>
      <c r="S423" t="str">
        <f t="shared" si="141"/>
        <v>Games</v>
      </c>
      <c r="T423" t="str">
        <f t="shared" si="142"/>
        <v>Carol</v>
      </c>
      <c r="U423" t="str">
        <f t="shared" si="143"/>
        <v>2017108</v>
      </c>
      <c r="V423" t="str">
        <f t="shared" si="144"/>
        <v>2008</v>
      </c>
      <c r="W423" s="4">
        <f t="shared" si="145"/>
        <v>43016</v>
      </c>
      <c r="X423" s="5">
        <f t="shared" si="146"/>
        <v>2008</v>
      </c>
    </row>
    <row r="424" spans="3:24" x14ac:dyDescent="0.35">
      <c r="C424" s="2">
        <f t="shared" si="126"/>
        <v>423</v>
      </c>
      <c r="D424" t="s">
        <v>422</v>
      </c>
      <c r="E424">
        <f t="shared" si="127"/>
        <v>30</v>
      </c>
      <c r="F424" t="str">
        <f t="shared" si="128"/>
        <v xml:space="preserve">////PR:Games_SP:Alice2017101 $2292  </v>
      </c>
      <c r="G424">
        <f t="shared" si="129"/>
        <v>32</v>
      </c>
      <c r="H424" t="str">
        <f t="shared" si="130"/>
        <v>////PR:Games_SP:Alice2017101 $2292</v>
      </c>
      <c r="I424">
        <f t="shared" si="131"/>
        <v>50</v>
      </c>
      <c r="J424" t="str">
        <f t="shared" si="132"/>
        <v>PR:Games_SP:Alice2017101 $2292</v>
      </c>
      <c r="K424" t="str">
        <f t="shared" si="133"/>
        <v>PR:Games SP:Alice2017101 $2292</v>
      </c>
      <c r="L424" t="str">
        <f t="shared" si="134"/>
        <v>Games SP:Alice2017101 $2292</v>
      </c>
      <c r="M424" t="str">
        <f t="shared" si="135"/>
        <v>Games Alice2017101 $2292</v>
      </c>
      <c r="N424" t="str">
        <f t="shared" si="136"/>
        <v>Games Alice2017101 $2292</v>
      </c>
      <c r="O424" t="str">
        <f t="shared" si="137"/>
        <v>Games Alice 2017101 $2292</v>
      </c>
      <c r="P424">
        <f t="shared" si="138"/>
        <v>6</v>
      </c>
      <c r="Q424">
        <f t="shared" si="139"/>
        <v>12</v>
      </c>
      <c r="R424">
        <f t="shared" si="140"/>
        <v>20</v>
      </c>
      <c r="S424" t="str">
        <f t="shared" si="141"/>
        <v>Games</v>
      </c>
      <c r="T424" t="str">
        <f t="shared" si="142"/>
        <v>Alice</v>
      </c>
      <c r="U424" t="str">
        <f t="shared" si="143"/>
        <v>2017101</v>
      </c>
      <c r="V424" t="str">
        <f t="shared" si="144"/>
        <v>2292</v>
      </c>
      <c r="W424" s="4">
        <f t="shared" si="145"/>
        <v>43009</v>
      </c>
      <c r="X424" s="5">
        <f t="shared" si="146"/>
        <v>2292</v>
      </c>
    </row>
    <row r="425" spans="3:24" x14ac:dyDescent="0.35">
      <c r="C425" s="2">
        <f t="shared" si="126"/>
        <v>424</v>
      </c>
      <c r="D425" t="s">
        <v>423</v>
      </c>
      <c r="E425">
        <f t="shared" si="127"/>
        <v>30</v>
      </c>
      <c r="F425" t="str">
        <f t="shared" si="128"/>
        <v xml:space="preserve">/PR:Books_SP:Alice20171015    $952  </v>
      </c>
      <c r="G425">
        <f t="shared" si="129"/>
        <v>32</v>
      </c>
      <c r="H425" t="str">
        <f t="shared" si="130"/>
        <v>/PR:Books_SP:Alice20171015    $952</v>
      </c>
      <c r="I425">
        <f t="shared" si="131"/>
        <v>50</v>
      </c>
      <c r="J425" t="str">
        <f t="shared" si="132"/>
        <v>PR:Books_SP:Alice20171015    $952</v>
      </c>
      <c r="K425" t="str">
        <f t="shared" si="133"/>
        <v>PR:Books SP:Alice20171015    $952</v>
      </c>
      <c r="L425" t="str">
        <f t="shared" si="134"/>
        <v>Books SP:Alice20171015    $952</v>
      </c>
      <c r="M425" t="str">
        <f t="shared" si="135"/>
        <v>Books Alice20171015    $952</v>
      </c>
      <c r="N425" t="str">
        <f t="shared" si="136"/>
        <v>Books Alice20171015 $952</v>
      </c>
      <c r="O425" t="str">
        <f t="shared" si="137"/>
        <v>Books Alice 20171015 $952</v>
      </c>
      <c r="P425">
        <f t="shared" si="138"/>
        <v>6</v>
      </c>
      <c r="Q425">
        <f t="shared" si="139"/>
        <v>12</v>
      </c>
      <c r="R425">
        <f t="shared" si="140"/>
        <v>21</v>
      </c>
      <c r="S425" t="str">
        <f t="shared" si="141"/>
        <v>Books</v>
      </c>
      <c r="T425" t="str">
        <f t="shared" si="142"/>
        <v>Alice</v>
      </c>
      <c r="U425" t="str">
        <f t="shared" si="143"/>
        <v>20171015</v>
      </c>
      <c r="V425" t="str">
        <f t="shared" si="144"/>
        <v>952</v>
      </c>
      <c r="W425" s="4">
        <f t="shared" si="145"/>
        <v>43023</v>
      </c>
      <c r="X425" s="5">
        <f t="shared" si="146"/>
        <v>952</v>
      </c>
    </row>
    <row r="426" spans="3:24" x14ac:dyDescent="0.35">
      <c r="C426" s="2">
        <f t="shared" si="126"/>
        <v>425</v>
      </c>
      <c r="D426" t="s">
        <v>424</v>
      </c>
      <c r="E426">
        <f t="shared" si="127"/>
        <v>29</v>
      </c>
      <c r="F426" t="str">
        <f t="shared" si="128"/>
        <v xml:space="preserve">///PR:Books__SP:Alice2017102 $547   </v>
      </c>
      <c r="G426">
        <f t="shared" si="129"/>
        <v>32</v>
      </c>
      <c r="H426" t="str">
        <f t="shared" si="130"/>
        <v>///PR:Books__SP:Alice2017102 $547</v>
      </c>
      <c r="I426">
        <f t="shared" si="131"/>
        <v>55</v>
      </c>
      <c r="J426" t="str">
        <f t="shared" si="132"/>
        <v>PR:Books__SP:Alice2017102 $547</v>
      </c>
      <c r="K426" t="str">
        <f t="shared" si="133"/>
        <v>PR:Books  SP:Alice2017102 $547</v>
      </c>
      <c r="L426" t="str">
        <f t="shared" si="134"/>
        <v>Books  SP:Alice2017102 $547</v>
      </c>
      <c r="M426" t="str">
        <f t="shared" si="135"/>
        <v>Books  Alice2017102 $547</v>
      </c>
      <c r="N426" t="str">
        <f t="shared" si="136"/>
        <v>Books Alice2017102 $547</v>
      </c>
      <c r="O426" t="str">
        <f t="shared" si="137"/>
        <v>Books Alice 2017102 $547</v>
      </c>
      <c r="P426">
        <f t="shared" si="138"/>
        <v>6</v>
      </c>
      <c r="Q426">
        <f t="shared" si="139"/>
        <v>12</v>
      </c>
      <c r="R426">
        <f t="shared" si="140"/>
        <v>20</v>
      </c>
      <c r="S426" t="str">
        <f t="shared" si="141"/>
        <v>Books</v>
      </c>
      <c r="T426" t="str">
        <f t="shared" si="142"/>
        <v>Alice</v>
      </c>
      <c r="U426" t="str">
        <f t="shared" si="143"/>
        <v>2017102</v>
      </c>
      <c r="V426" t="str">
        <f t="shared" si="144"/>
        <v>547</v>
      </c>
      <c r="W426" s="4">
        <f t="shared" si="145"/>
        <v>43010</v>
      </c>
      <c r="X426" s="5">
        <f t="shared" si="146"/>
        <v>547</v>
      </c>
    </row>
    <row r="427" spans="3:24" x14ac:dyDescent="0.35">
      <c r="C427" s="2">
        <f t="shared" si="126"/>
        <v>426</v>
      </c>
      <c r="D427" t="s">
        <v>425</v>
      </c>
      <c r="E427">
        <f t="shared" si="127"/>
        <v>31</v>
      </c>
      <c r="F427" t="str">
        <f t="shared" si="128"/>
        <v xml:space="preserve">///PR:Clothing__SP:David2017103 $1671 </v>
      </c>
      <c r="G427">
        <f t="shared" si="129"/>
        <v>32</v>
      </c>
      <c r="H427" t="str">
        <f t="shared" si="130"/>
        <v>///PR:Clothing__SP:David2017103 $1671</v>
      </c>
      <c r="I427">
        <f t="shared" si="131"/>
        <v>49</v>
      </c>
      <c r="J427" t="str">
        <f t="shared" si="132"/>
        <v>PR:Clothing__SP:David2017103 $1671</v>
      </c>
      <c r="K427" t="str">
        <f t="shared" si="133"/>
        <v>PR:Clothing  SP:David2017103 $1671</v>
      </c>
      <c r="L427" t="str">
        <f t="shared" si="134"/>
        <v>Clothing  SP:David2017103 $1671</v>
      </c>
      <c r="M427" t="str">
        <f t="shared" si="135"/>
        <v>Clothing  David2017103 $1671</v>
      </c>
      <c r="N427" t="str">
        <f t="shared" si="136"/>
        <v>Clothing David2017103 $1671</v>
      </c>
      <c r="O427" t="str">
        <f t="shared" si="137"/>
        <v>Clothing David 2017103 $1671</v>
      </c>
      <c r="P427">
        <f t="shared" si="138"/>
        <v>9</v>
      </c>
      <c r="Q427">
        <f t="shared" si="139"/>
        <v>15</v>
      </c>
      <c r="R427">
        <f t="shared" si="140"/>
        <v>23</v>
      </c>
      <c r="S427" t="str">
        <f t="shared" si="141"/>
        <v>Clothing</v>
      </c>
      <c r="T427" t="str">
        <f t="shared" si="142"/>
        <v>David</v>
      </c>
      <c r="U427" t="str">
        <f t="shared" si="143"/>
        <v>2017103</v>
      </c>
      <c r="V427" t="str">
        <f t="shared" si="144"/>
        <v>1671</v>
      </c>
      <c r="W427" s="4">
        <f t="shared" si="145"/>
        <v>43011</v>
      </c>
      <c r="X427" s="5">
        <f t="shared" si="146"/>
        <v>1671</v>
      </c>
    </row>
    <row r="428" spans="3:24" x14ac:dyDescent="0.35">
      <c r="C428" s="2">
        <f t="shared" si="126"/>
        <v>427</v>
      </c>
      <c r="D428" t="s">
        <v>426</v>
      </c>
      <c r="E428">
        <f t="shared" si="127"/>
        <v>28</v>
      </c>
      <c r="F428" t="str">
        <f t="shared" si="128"/>
        <v xml:space="preserve">/////PR:Music__SP:Carol2017102    $1007     </v>
      </c>
      <c r="G428">
        <f t="shared" si="129"/>
        <v>32</v>
      </c>
      <c r="H428" t="str">
        <f t="shared" si="130"/>
        <v>/////PR:Music__SP:Carol2017102    $1007</v>
      </c>
      <c r="I428">
        <f t="shared" si="131"/>
        <v>55</v>
      </c>
      <c r="J428" t="str">
        <f t="shared" si="132"/>
        <v>PR:Music__SP:Carol2017102    $1007</v>
      </c>
      <c r="K428" t="str">
        <f t="shared" si="133"/>
        <v>PR:Music  SP:Carol2017102    $1007</v>
      </c>
      <c r="L428" t="str">
        <f t="shared" si="134"/>
        <v>Music  SP:Carol2017102    $1007</v>
      </c>
      <c r="M428" t="str">
        <f t="shared" si="135"/>
        <v>Music  Carol2017102    $1007</v>
      </c>
      <c r="N428" t="str">
        <f t="shared" si="136"/>
        <v>Music Carol2017102 $1007</v>
      </c>
      <c r="O428" t="str">
        <f t="shared" si="137"/>
        <v>Music Carol 2017102 $1007</v>
      </c>
      <c r="P428">
        <f t="shared" si="138"/>
        <v>6</v>
      </c>
      <c r="Q428">
        <f t="shared" si="139"/>
        <v>12</v>
      </c>
      <c r="R428">
        <f t="shared" si="140"/>
        <v>20</v>
      </c>
      <c r="S428" t="str">
        <f t="shared" si="141"/>
        <v>Music</v>
      </c>
      <c r="T428" t="str">
        <f t="shared" si="142"/>
        <v>Carol</v>
      </c>
      <c r="U428" t="str">
        <f t="shared" si="143"/>
        <v>2017102</v>
      </c>
      <c r="V428" t="str">
        <f t="shared" si="144"/>
        <v>1007</v>
      </c>
      <c r="W428" s="4">
        <f t="shared" si="145"/>
        <v>43010</v>
      </c>
      <c r="X428" s="5">
        <f t="shared" si="146"/>
        <v>1007</v>
      </c>
    </row>
    <row r="429" spans="3:24" x14ac:dyDescent="0.35">
      <c r="C429" s="2">
        <f t="shared" si="126"/>
        <v>428</v>
      </c>
      <c r="D429" t="s">
        <v>427</v>
      </c>
      <c r="E429">
        <f t="shared" si="127"/>
        <v>30</v>
      </c>
      <c r="F429" t="str">
        <f t="shared" si="128"/>
        <v xml:space="preserve">///PR:Music__SP:Barney20171018   $1347  </v>
      </c>
      <c r="G429">
        <f t="shared" si="129"/>
        <v>32</v>
      </c>
      <c r="H429" t="str">
        <f t="shared" si="130"/>
        <v>///PR:Music__SP:Barney20171018   $1347</v>
      </c>
      <c r="I429">
        <f t="shared" si="131"/>
        <v>55</v>
      </c>
      <c r="J429" t="str">
        <f t="shared" si="132"/>
        <v>PR:Music__SP:Barney20171018   $1347</v>
      </c>
      <c r="K429" t="str">
        <f t="shared" si="133"/>
        <v>PR:Music  SP:Barney20171018   $1347</v>
      </c>
      <c r="L429" t="str">
        <f t="shared" si="134"/>
        <v>Music  SP:Barney20171018   $1347</v>
      </c>
      <c r="M429" t="str">
        <f t="shared" si="135"/>
        <v>Music  Barney20171018   $1347</v>
      </c>
      <c r="N429" t="str">
        <f t="shared" si="136"/>
        <v>Music Barney20171018 $1347</v>
      </c>
      <c r="O429" t="str">
        <f t="shared" si="137"/>
        <v>Music Barney 20171018 $1347</v>
      </c>
      <c r="P429">
        <f t="shared" si="138"/>
        <v>6</v>
      </c>
      <c r="Q429">
        <f t="shared" si="139"/>
        <v>13</v>
      </c>
      <c r="R429">
        <f t="shared" si="140"/>
        <v>22</v>
      </c>
      <c r="S429" t="str">
        <f t="shared" si="141"/>
        <v>Music</v>
      </c>
      <c r="T429" t="str">
        <f t="shared" si="142"/>
        <v>Barney</v>
      </c>
      <c r="U429" t="str">
        <f t="shared" si="143"/>
        <v>20171018</v>
      </c>
      <c r="V429" t="str">
        <f t="shared" si="144"/>
        <v>1347</v>
      </c>
      <c r="W429" s="4">
        <f t="shared" si="145"/>
        <v>43026</v>
      </c>
      <c r="X429" s="5">
        <f t="shared" si="146"/>
        <v>1347</v>
      </c>
    </row>
    <row r="430" spans="3:24" x14ac:dyDescent="0.35">
      <c r="C430" s="2">
        <f t="shared" si="126"/>
        <v>429</v>
      </c>
      <c r="D430" t="s">
        <v>428</v>
      </c>
      <c r="E430">
        <f t="shared" si="127"/>
        <v>30</v>
      </c>
      <c r="F430" t="str">
        <f t="shared" si="128"/>
        <v xml:space="preserve">//PR:Clothing_____SP:Carol20171027     $0  </v>
      </c>
      <c r="G430">
        <f t="shared" si="129"/>
        <v>32</v>
      </c>
      <c r="H430" t="str">
        <f t="shared" si="130"/>
        <v>//PR:Clothing_____SP:Carol20171027     $0</v>
      </c>
      <c r="I430">
        <f t="shared" si="131"/>
        <v>48</v>
      </c>
      <c r="J430" t="str">
        <f t="shared" si="132"/>
        <v>PR:Clothing_____SP:Carol20171027     $0</v>
      </c>
      <c r="K430" t="str">
        <f t="shared" si="133"/>
        <v>PR:Clothing     SP:Carol20171027     $0</v>
      </c>
      <c r="L430" t="str">
        <f t="shared" si="134"/>
        <v>Clothing     SP:Carol20171027     $0</v>
      </c>
      <c r="M430" t="str">
        <f t="shared" si="135"/>
        <v>Clothing     Carol20171027     $0</v>
      </c>
      <c r="N430" t="str">
        <f t="shared" si="136"/>
        <v>Clothing Carol20171027 $0</v>
      </c>
      <c r="O430" t="str">
        <f t="shared" si="137"/>
        <v>Clothing Carol 20171027 $0</v>
      </c>
      <c r="P430">
        <f t="shared" si="138"/>
        <v>9</v>
      </c>
      <c r="Q430">
        <f t="shared" si="139"/>
        <v>15</v>
      </c>
      <c r="R430">
        <f t="shared" si="140"/>
        <v>24</v>
      </c>
      <c r="S430" t="str">
        <f t="shared" si="141"/>
        <v>Clothing</v>
      </c>
      <c r="T430" t="str">
        <f t="shared" si="142"/>
        <v>Carol</v>
      </c>
      <c r="U430" t="str">
        <f t="shared" si="143"/>
        <v>20171027</v>
      </c>
      <c r="V430" t="str">
        <f t="shared" si="144"/>
        <v>0</v>
      </c>
      <c r="W430" s="4">
        <f t="shared" si="145"/>
        <v>43035</v>
      </c>
      <c r="X430" s="5">
        <f t="shared" si="146"/>
        <v>0</v>
      </c>
    </row>
    <row r="431" spans="3:24" x14ac:dyDescent="0.35">
      <c r="C431" s="2">
        <f t="shared" si="126"/>
        <v>430</v>
      </c>
      <c r="D431" t="s">
        <v>429</v>
      </c>
      <c r="E431">
        <f t="shared" si="127"/>
        <v>31</v>
      </c>
      <c r="F431" t="str">
        <f t="shared" si="128"/>
        <v xml:space="preserve">////PR:Music__SP:David2017101     $1396     </v>
      </c>
      <c r="G431">
        <f t="shared" si="129"/>
        <v>32</v>
      </c>
      <c r="H431" t="str">
        <f t="shared" si="130"/>
        <v>////PR:Music__SP:David2017101     $1396</v>
      </c>
      <c r="I431">
        <f t="shared" si="131"/>
        <v>54</v>
      </c>
      <c r="J431" t="str">
        <f t="shared" si="132"/>
        <v>PR:Music__SP:David2017101     $1396</v>
      </c>
      <c r="K431" t="str">
        <f t="shared" si="133"/>
        <v>PR:Music  SP:David2017101     $1396</v>
      </c>
      <c r="L431" t="str">
        <f t="shared" si="134"/>
        <v>Music  SP:David2017101     $1396</v>
      </c>
      <c r="M431" t="str">
        <f t="shared" si="135"/>
        <v>Music  David2017101     $1396</v>
      </c>
      <c r="N431" t="str">
        <f t="shared" si="136"/>
        <v>Music David2017101 $1396</v>
      </c>
      <c r="O431" t="str">
        <f t="shared" si="137"/>
        <v>Music David 2017101 $1396</v>
      </c>
      <c r="P431">
        <f t="shared" si="138"/>
        <v>6</v>
      </c>
      <c r="Q431">
        <f t="shared" si="139"/>
        <v>12</v>
      </c>
      <c r="R431">
        <f t="shared" si="140"/>
        <v>20</v>
      </c>
      <c r="S431" t="str">
        <f t="shared" si="141"/>
        <v>Music</v>
      </c>
      <c r="T431" t="str">
        <f t="shared" si="142"/>
        <v>David</v>
      </c>
      <c r="U431" t="str">
        <f t="shared" si="143"/>
        <v>2017101</v>
      </c>
      <c r="V431" t="str">
        <f t="shared" si="144"/>
        <v>1396</v>
      </c>
      <c r="W431" s="4">
        <f t="shared" si="145"/>
        <v>43009</v>
      </c>
      <c r="X431" s="5">
        <f t="shared" si="146"/>
        <v>1396</v>
      </c>
    </row>
    <row r="432" spans="3:24" x14ac:dyDescent="0.35">
      <c r="C432" s="2">
        <f t="shared" si="126"/>
        <v>431</v>
      </c>
      <c r="D432" t="s">
        <v>430</v>
      </c>
      <c r="E432">
        <f t="shared" si="127"/>
        <v>28</v>
      </c>
      <c r="F432" t="str">
        <f t="shared" si="128"/>
        <v xml:space="preserve">/PR:Music____SP:Alice20171023    $1212 </v>
      </c>
      <c r="G432">
        <f t="shared" si="129"/>
        <v>32</v>
      </c>
      <c r="H432" t="str">
        <f t="shared" si="130"/>
        <v>/PR:Music____SP:Alice20171023    $1212</v>
      </c>
      <c r="I432">
        <f t="shared" si="131"/>
        <v>50</v>
      </c>
      <c r="J432" t="str">
        <f t="shared" si="132"/>
        <v>PR:Music____SP:Alice20171023    $1212</v>
      </c>
      <c r="K432" t="str">
        <f t="shared" si="133"/>
        <v>PR:Music    SP:Alice20171023    $1212</v>
      </c>
      <c r="L432" t="str">
        <f t="shared" si="134"/>
        <v>Music    SP:Alice20171023    $1212</v>
      </c>
      <c r="M432" t="str">
        <f t="shared" si="135"/>
        <v>Music    Alice20171023    $1212</v>
      </c>
      <c r="N432" t="str">
        <f t="shared" si="136"/>
        <v>Music Alice20171023 $1212</v>
      </c>
      <c r="O432" t="str">
        <f t="shared" si="137"/>
        <v>Music Alice 20171023 $1212</v>
      </c>
      <c r="P432">
        <f t="shared" si="138"/>
        <v>6</v>
      </c>
      <c r="Q432">
        <f t="shared" si="139"/>
        <v>12</v>
      </c>
      <c r="R432">
        <f t="shared" si="140"/>
        <v>21</v>
      </c>
      <c r="S432" t="str">
        <f t="shared" si="141"/>
        <v>Music</v>
      </c>
      <c r="T432" t="str">
        <f t="shared" si="142"/>
        <v>Alice</v>
      </c>
      <c r="U432" t="str">
        <f t="shared" si="143"/>
        <v>20171023</v>
      </c>
      <c r="V432" t="str">
        <f t="shared" si="144"/>
        <v>1212</v>
      </c>
      <c r="W432" s="4">
        <f t="shared" si="145"/>
        <v>43031</v>
      </c>
      <c r="X432" s="5">
        <f t="shared" si="146"/>
        <v>1212</v>
      </c>
    </row>
    <row r="433" spans="3:24" x14ac:dyDescent="0.35">
      <c r="C433" s="2">
        <f t="shared" si="126"/>
        <v>432</v>
      </c>
      <c r="D433" t="s">
        <v>431</v>
      </c>
      <c r="E433">
        <f t="shared" si="127"/>
        <v>29</v>
      </c>
      <c r="F433" t="str">
        <f t="shared" si="128"/>
        <v xml:space="preserve">/PR:Books__SP:Alice20171025 $0 </v>
      </c>
      <c r="G433">
        <f t="shared" si="129"/>
        <v>32</v>
      </c>
      <c r="H433" t="str">
        <f t="shared" si="130"/>
        <v>/PR:Books__SP:Alice20171025 $0</v>
      </c>
      <c r="I433">
        <f t="shared" si="131"/>
        <v>48</v>
      </c>
      <c r="J433" t="str">
        <f t="shared" si="132"/>
        <v>PR:Books__SP:Alice20171025 $0</v>
      </c>
      <c r="K433" t="str">
        <f t="shared" si="133"/>
        <v>PR:Books  SP:Alice20171025 $0</v>
      </c>
      <c r="L433" t="str">
        <f t="shared" si="134"/>
        <v>Books  SP:Alice20171025 $0</v>
      </c>
      <c r="M433" t="str">
        <f t="shared" si="135"/>
        <v>Books  Alice20171025 $0</v>
      </c>
      <c r="N433" t="str">
        <f t="shared" si="136"/>
        <v>Books Alice20171025 $0</v>
      </c>
      <c r="O433" t="str">
        <f t="shared" si="137"/>
        <v>Books Alice 20171025 $0</v>
      </c>
      <c r="P433">
        <f t="shared" si="138"/>
        <v>6</v>
      </c>
      <c r="Q433">
        <f t="shared" si="139"/>
        <v>12</v>
      </c>
      <c r="R433">
        <f t="shared" si="140"/>
        <v>21</v>
      </c>
      <c r="S433" t="str">
        <f t="shared" si="141"/>
        <v>Books</v>
      </c>
      <c r="T433" t="str">
        <f t="shared" si="142"/>
        <v>Alice</v>
      </c>
      <c r="U433" t="str">
        <f t="shared" si="143"/>
        <v>20171025</v>
      </c>
      <c r="V433" t="str">
        <f t="shared" si="144"/>
        <v>0</v>
      </c>
      <c r="W433" s="4">
        <f t="shared" si="145"/>
        <v>43033</v>
      </c>
      <c r="X433" s="5">
        <f t="shared" si="146"/>
        <v>0</v>
      </c>
    </row>
    <row r="434" spans="3:24" x14ac:dyDescent="0.35">
      <c r="C434" s="2">
        <f t="shared" si="126"/>
        <v>433</v>
      </c>
      <c r="D434" t="s">
        <v>432</v>
      </c>
      <c r="E434">
        <f t="shared" si="127"/>
        <v>31</v>
      </c>
      <c r="F434" t="str">
        <f t="shared" si="128"/>
        <v xml:space="preserve">///PR:Books_____SP:Barney20171017 $726     </v>
      </c>
      <c r="G434">
        <f t="shared" si="129"/>
        <v>32</v>
      </c>
      <c r="H434" t="str">
        <f t="shared" si="130"/>
        <v>///PR:Books_____SP:Barney20171017 $726</v>
      </c>
      <c r="I434">
        <f t="shared" si="131"/>
        <v>54</v>
      </c>
      <c r="J434" t="str">
        <f t="shared" si="132"/>
        <v>PR:Books_____SP:Barney20171017 $726</v>
      </c>
      <c r="K434" t="str">
        <f t="shared" si="133"/>
        <v>PR:Books     SP:Barney20171017 $726</v>
      </c>
      <c r="L434" t="str">
        <f t="shared" si="134"/>
        <v>Books     SP:Barney20171017 $726</v>
      </c>
      <c r="M434" t="str">
        <f t="shared" si="135"/>
        <v>Books     Barney20171017 $726</v>
      </c>
      <c r="N434" t="str">
        <f t="shared" si="136"/>
        <v>Books Barney20171017 $726</v>
      </c>
      <c r="O434" t="str">
        <f t="shared" si="137"/>
        <v>Books Barney 20171017 $726</v>
      </c>
      <c r="P434">
        <f t="shared" si="138"/>
        <v>6</v>
      </c>
      <c r="Q434">
        <f t="shared" si="139"/>
        <v>13</v>
      </c>
      <c r="R434">
        <f t="shared" si="140"/>
        <v>22</v>
      </c>
      <c r="S434" t="str">
        <f t="shared" si="141"/>
        <v>Books</v>
      </c>
      <c r="T434" t="str">
        <f t="shared" si="142"/>
        <v>Barney</v>
      </c>
      <c r="U434" t="str">
        <f t="shared" si="143"/>
        <v>20171017</v>
      </c>
      <c r="V434" t="str">
        <f t="shared" si="144"/>
        <v>726</v>
      </c>
      <c r="W434" s="4">
        <f t="shared" si="145"/>
        <v>43025</v>
      </c>
      <c r="X434" s="5">
        <f t="shared" si="146"/>
        <v>726</v>
      </c>
    </row>
    <row r="435" spans="3:24" x14ac:dyDescent="0.35">
      <c r="C435" s="2">
        <f t="shared" si="126"/>
        <v>434</v>
      </c>
      <c r="D435" t="s">
        <v>433</v>
      </c>
      <c r="E435">
        <f t="shared" si="127"/>
        <v>31</v>
      </c>
      <c r="F435" t="str">
        <f t="shared" si="128"/>
        <v xml:space="preserve">/PR:Games___SP:David20171023    $0  </v>
      </c>
      <c r="G435">
        <f t="shared" si="129"/>
        <v>32</v>
      </c>
      <c r="H435" t="str">
        <f t="shared" si="130"/>
        <v>/PR:Games___SP:David20171023    $0</v>
      </c>
      <c r="I435">
        <f t="shared" si="131"/>
        <v>48</v>
      </c>
      <c r="J435" t="str">
        <f t="shared" si="132"/>
        <v>PR:Games___SP:David20171023    $0</v>
      </c>
      <c r="K435" t="str">
        <f t="shared" si="133"/>
        <v>PR:Games   SP:David20171023    $0</v>
      </c>
      <c r="L435" t="str">
        <f t="shared" si="134"/>
        <v>Games   SP:David20171023    $0</v>
      </c>
      <c r="M435" t="str">
        <f t="shared" si="135"/>
        <v>Games   David20171023    $0</v>
      </c>
      <c r="N435" t="str">
        <f t="shared" si="136"/>
        <v>Games David20171023 $0</v>
      </c>
      <c r="O435" t="str">
        <f t="shared" si="137"/>
        <v>Games David 20171023 $0</v>
      </c>
      <c r="P435">
        <f t="shared" si="138"/>
        <v>6</v>
      </c>
      <c r="Q435">
        <f t="shared" si="139"/>
        <v>12</v>
      </c>
      <c r="R435">
        <f t="shared" si="140"/>
        <v>21</v>
      </c>
      <c r="S435" t="str">
        <f t="shared" si="141"/>
        <v>Games</v>
      </c>
      <c r="T435" t="str">
        <f t="shared" si="142"/>
        <v>David</v>
      </c>
      <c r="U435" t="str">
        <f t="shared" si="143"/>
        <v>20171023</v>
      </c>
      <c r="V435" t="str">
        <f t="shared" si="144"/>
        <v>0</v>
      </c>
      <c r="W435" s="4">
        <f t="shared" si="145"/>
        <v>43031</v>
      </c>
      <c r="X435" s="5">
        <f t="shared" si="146"/>
        <v>0</v>
      </c>
    </row>
    <row r="436" spans="3:24" x14ac:dyDescent="0.35">
      <c r="C436" s="2">
        <f t="shared" si="126"/>
        <v>435</v>
      </c>
      <c r="D436" t="s">
        <v>434</v>
      </c>
      <c r="E436">
        <f t="shared" si="127"/>
        <v>28</v>
      </c>
      <c r="F436" t="str">
        <f t="shared" si="128"/>
        <v xml:space="preserve">/PR:Music_____SP:Carol2017107  $0    </v>
      </c>
      <c r="G436">
        <f t="shared" si="129"/>
        <v>32</v>
      </c>
      <c r="H436" t="str">
        <f t="shared" si="130"/>
        <v>/PR:Music_____SP:Carol2017107  $0</v>
      </c>
      <c r="I436">
        <f t="shared" si="131"/>
        <v>48</v>
      </c>
      <c r="J436" t="str">
        <f t="shared" si="132"/>
        <v>PR:Music_____SP:Carol2017107  $0</v>
      </c>
      <c r="K436" t="str">
        <f t="shared" si="133"/>
        <v>PR:Music     SP:Carol2017107  $0</v>
      </c>
      <c r="L436" t="str">
        <f t="shared" si="134"/>
        <v>Music     SP:Carol2017107  $0</v>
      </c>
      <c r="M436" t="str">
        <f t="shared" si="135"/>
        <v>Music     Carol2017107  $0</v>
      </c>
      <c r="N436" t="str">
        <f t="shared" si="136"/>
        <v>Music Carol2017107 $0</v>
      </c>
      <c r="O436" t="str">
        <f t="shared" si="137"/>
        <v>Music Carol 2017107 $0</v>
      </c>
      <c r="P436">
        <f t="shared" si="138"/>
        <v>6</v>
      </c>
      <c r="Q436">
        <f t="shared" si="139"/>
        <v>12</v>
      </c>
      <c r="R436">
        <f t="shared" si="140"/>
        <v>20</v>
      </c>
      <c r="S436" t="str">
        <f t="shared" si="141"/>
        <v>Music</v>
      </c>
      <c r="T436" t="str">
        <f t="shared" si="142"/>
        <v>Carol</v>
      </c>
      <c r="U436" t="str">
        <f t="shared" si="143"/>
        <v>2017107</v>
      </c>
      <c r="V436" t="str">
        <f t="shared" si="144"/>
        <v>0</v>
      </c>
      <c r="W436" s="4">
        <f t="shared" si="145"/>
        <v>43015</v>
      </c>
      <c r="X436" s="5">
        <f t="shared" si="146"/>
        <v>0</v>
      </c>
    </row>
    <row r="437" spans="3:24" x14ac:dyDescent="0.35">
      <c r="C437" s="2">
        <f t="shared" si="126"/>
        <v>436</v>
      </c>
      <c r="D437" t="s">
        <v>435</v>
      </c>
      <c r="E437">
        <f t="shared" si="127"/>
        <v>31</v>
      </c>
      <c r="F437" t="str">
        <f t="shared" si="128"/>
        <v xml:space="preserve">////PR:Books_SP:Carol20171022 $505     </v>
      </c>
      <c r="G437">
        <f t="shared" si="129"/>
        <v>32</v>
      </c>
      <c r="H437" t="str">
        <f t="shared" si="130"/>
        <v>////PR:Books_SP:Carol20171022 $505</v>
      </c>
      <c r="I437">
        <f t="shared" si="131"/>
        <v>53</v>
      </c>
      <c r="J437" t="str">
        <f t="shared" si="132"/>
        <v>PR:Books_SP:Carol20171022 $505</v>
      </c>
      <c r="K437" t="str">
        <f t="shared" si="133"/>
        <v>PR:Books SP:Carol20171022 $505</v>
      </c>
      <c r="L437" t="str">
        <f t="shared" si="134"/>
        <v>Books SP:Carol20171022 $505</v>
      </c>
      <c r="M437" t="str">
        <f t="shared" si="135"/>
        <v>Books Carol20171022 $505</v>
      </c>
      <c r="N437" t="str">
        <f t="shared" si="136"/>
        <v>Books Carol20171022 $505</v>
      </c>
      <c r="O437" t="str">
        <f t="shared" si="137"/>
        <v>Books Carol 20171022 $505</v>
      </c>
      <c r="P437">
        <f t="shared" si="138"/>
        <v>6</v>
      </c>
      <c r="Q437">
        <f t="shared" si="139"/>
        <v>12</v>
      </c>
      <c r="R437">
        <f t="shared" si="140"/>
        <v>21</v>
      </c>
      <c r="S437" t="str">
        <f t="shared" si="141"/>
        <v>Books</v>
      </c>
      <c r="T437" t="str">
        <f t="shared" si="142"/>
        <v>Carol</v>
      </c>
      <c r="U437" t="str">
        <f t="shared" si="143"/>
        <v>20171022</v>
      </c>
      <c r="V437" t="str">
        <f t="shared" si="144"/>
        <v>505</v>
      </c>
      <c r="W437" s="4">
        <f t="shared" si="145"/>
        <v>43030</v>
      </c>
      <c r="X437" s="5">
        <f t="shared" si="146"/>
        <v>505</v>
      </c>
    </row>
    <row r="438" spans="3:24" x14ac:dyDescent="0.35">
      <c r="C438" s="2">
        <f t="shared" si="126"/>
        <v>437</v>
      </c>
      <c r="D438" t="s">
        <v>436</v>
      </c>
      <c r="E438">
        <f t="shared" si="127"/>
        <v>31</v>
      </c>
      <c r="F438" t="str">
        <f t="shared" si="128"/>
        <v xml:space="preserve">/PR:Music__SP:Barney20171016    $0 </v>
      </c>
      <c r="G438">
        <f t="shared" si="129"/>
        <v>32</v>
      </c>
      <c r="H438" t="str">
        <f t="shared" si="130"/>
        <v>/PR:Music__SP:Barney20171016    $0</v>
      </c>
      <c r="I438">
        <f t="shared" si="131"/>
        <v>48</v>
      </c>
      <c r="J438" t="str">
        <f t="shared" si="132"/>
        <v>PR:Music__SP:Barney20171016    $0</v>
      </c>
      <c r="K438" t="str">
        <f t="shared" si="133"/>
        <v>PR:Music  SP:Barney20171016    $0</v>
      </c>
      <c r="L438" t="str">
        <f t="shared" si="134"/>
        <v>Music  SP:Barney20171016    $0</v>
      </c>
      <c r="M438" t="str">
        <f t="shared" si="135"/>
        <v>Music  Barney20171016    $0</v>
      </c>
      <c r="N438" t="str">
        <f t="shared" si="136"/>
        <v>Music Barney20171016 $0</v>
      </c>
      <c r="O438" t="str">
        <f t="shared" si="137"/>
        <v>Music Barney 20171016 $0</v>
      </c>
      <c r="P438">
        <f t="shared" si="138"/>
        <v>6</v>
      </c>
      <c r="Q438">
        <f t="shared" si="139"/>
        <v>13</v>
      </c>
      <c r="R438">
        <f t="shared" si="140"/>
        <v>22</v>
      </c>
      <c r="S438" t="str">
        <f t="shared" si="141"/>
        <v>Music</v>
      </c>
      <c r="T438" t="str">
        <f t="shared" si="142"/>
        <v>Barney</v>
      </c>
      <c r="U438" t="str">
        <f t="shared" si="143"/>
        <v>20171016</v>
      </c>
      <c r="V438" t="str">
        <f t="shared" si="144"/>
        <v>0</v>
      </c>
      <c r="W438" s="4">
        <f t="shared" si="145"/>
        <v>43024</v>
      </c>
      <c r="X438" s="5">
        <f t="shared" si="146"/>
        <v>0</v>
      </c>
    </row>
    <row r="439" spans="3:24" x14ac:dyDescent="0.35">
      <c r="C439" s="2">
        <f t="shared" si="126"/>
        <v>438</v>
      </c>
      <c r="D439" t="s">
        <v>437</v>
      </c>
      <c r="E439">
        <f t="shared" si="127"/>
        <v>31</v>
      </c>
      <c r="F439" t="str">
        <f t="shared" si="128"/>
        <v xml:space="preserve">/////PR:Games_SP:Alice2017104     $2364   </v>
      </c>
      <c r="G439">
        <f t="shared" si="129"/>
        <v>32</v>
      </c>
      <c r="H439" t="str">
        <f t="shared" si="130"/>
        <v>/////PR:Games_SP:Alice2017104     $2364</v>
      </c>
      <c r="I439">
        <f t="shared" si="131"/>
        <v>52</v>
      </c>
      <c r="J439" t="str">
        <f t="shared" si="132"/>
        <v>PR:Games_SP:Alice2017104     $2364</v>
      </c>
      <c r="K439" t="str">
        <f t="shared" si="133"/>
        <v>PR:Games SP:Alice2017104     $2364</v>
      </c>
      <c r="L439" t="str">
        <f t="shared" si="134"/>
        <v>Games SP:Alice2017104     $2364</v>
      </c>
      <c r="M439" t="str">
        <f t="shared" si="135"/>
        <v>Games Alice2017104     $2364</v>
      </c>
      <c r="N439" t="str">
        <f t="shared" si="136"/>
        <v>Games Alice2017104 $2364</v>
      </c>
      <c r="O439" t="str">
        <f t="shared" si="137"/>
        <v>Games Alice 2017104 $2364</v>
      </c>
      <c r="P439">
        <f t="shared" si="138"/>
        <v>6</v>
      </c>
      <c r="Q439">
        <f t="shared" si="139"/>
        <v>12</v>
      </c>
      <c r="R439">
        <f t="shared" si="140"/>
        <v>20</v>
      </c>
      <c r="S439" t="str">
        <f t="shared" si="141"/>
        <v>Games</v>
      </c>
      <c r="T439" t="str">
        <f t="shared" si="142"/>
        <v>Alice</v>
      </c>
      <c r="U439" t="str">
        <f t="shared" si="143"/>
        <v>2017104</v>
      </c>
      <c r="V439" t="str">
        <f t="shared" si="144"/>
        <v>2364</v>
      </c>
      <c r="W439" s="4">
        <f t="shared" si="145"/>
        <v>43012</v>
      </c>
      <c r="X439" s="5">
        <f t="shared" si="146"/>
        <v>2364</v>
      </c>
    </row>
    <row r="440" spans="3:24" x14ac:dyDescent="0.35">
      <c r="C440" s="2">
        <f t="shared" si="126"/>
        <v>439</v>
      </c>
      <c r="D440" t="s">
        <v>438</v>
      </c>
      <c r="E440">
        <f t="shared" si="127"/>
        <v>30</v>
      </c>
      <c r="F440" t="str">
        <f t="shared" si="128"/>
        <v xml:space="preserve">/////PR:Clothing____SP:Barney20171013  $0 </v>
      </c>
      <c r="G440">
        <f t="shared" si="129"/>
        <v>32</v>
      </c>
      <c r="H440" t="str">
        <f t="shared" si="130"/>
        <v>/////PR:Clothing____SP:Barney20171013  $0</v>
      </c>
      <c r="I440">
        <f t="shared" si="131"/>
        <v>48</v>
      </c>
      <c r="J440" t="str">
        <f t="shared" si="132"/>
        <v>PR:Clothing____SP:Barney20171013  $0</v>
      </c>
      <c r="K440" t="str">
        <f t="shared" si="133"/>
        <v>PR:Clothing    SP:Barney20171013  $0</v>
      </c>
      <c r="L440" t="str">
        <f t="shared" si="134"/>
        <v>Clothing    SP:Barney20171013  $0</v>
      </c>
      <c r="M440" t="str">
        <f t="shared" si="135"/>
        <v>Clothing    Barney20171013  $0</v>
      </c>
      <c r="N440" t="str">
        <f t="shared" si="136"/>
        <v>Clothing Barney20171013 $0</v>
      </c>
      <c r="O440" t="str">
        <f t="shared" si="137"/>
        <v>Clothing Barney 20171013 $0</v>
      </c>
      <c r="P440">
        <f t="shared" si="138"/>
        <v>9</v>
      </c>
      <c r="Q440">
        <f t="shared" si="139"/>
        <v>16</v>
      </c>
      <c r="R440">
        <f t="shared" si="140"/>
        <v>25</v>
      </c>
      <c r="S440" t="str">
        <f t="shared" si="141"/>
        <v>Clothing</v>
      </c>
      <c r="T440" t="str">
        <f t="shared" si="142"/>
        <v>Barney</v>
      </c>
      <c r="U440" t="str">
        <f t="shared" si="143"/>
        <v>20171013</v>
      </c>
      <c r="V440" t="str">
        <f t="shared" si="144"/>
        <v>0</v>
      </c>
      <c r="W440" s="4">
        <f t="shared" si="145"/>
        <v>43021</v>
      </c>
      <c r="X440" s="5">
        <f t="shared" si="146"/>
        <v>0</v>
      </c>
    </row>
    <row r="441" spans="3:24" x14ac:dyDescent="0.35">
      <c r="C441" s="2">
        <f t="shared" si="126"/>
        <v>440</v>
      </c>
      <c r="D441" t="s">
        <v>439</v>
      </c>
      <c r="E441">
        <f t="shared" si="127"/>
        <v>28</v>
      </c>
      <c r="F441" t="str">
        <f t="shared" si="128"/>
        <v xml:space="preserve">////PR:Games_____SP:David20171011 $1930  </v>
      </c>
      <c r="G441">
        <f t="shared" si="129"/>
        <v>32</v>
      </c>
      <c r="H441" t="str">
        <f t="shared" si="130"/>
        <v>////PR:Games_____SP:David20171011 $1930</v>
      </c>
      <c r="I441">
        <f t="shared" si="131"/>
        <v>48</v>
      </c>
      <c r="J441" t="str">
        <f t="shared" si="132"/>
        <v>PR:Games_____SP:David20171011 $1930</v>
      </c>
      <c r="K441" t="str">
        <f t="shared" si="133"/>
        <v>PR:Games     SP:David20171011 $1930</v>
      </c>
      <c r="L441" t="str">
        <f t="shared" si="134"/>
        <v>Games     SP:David20171011 $1930</v>
      </c>
      <c r="M441" t="str">
        <f t="shared" si="135"/>
        <v>Games     David20171011 $1930</v>
      </c>
      <c r="N441" t="str">
        <f t="shared" si="136"/>
        <v>Games David20171011 $1930</v>
      </c>
      <c r="O441" t="str">
        <f t="shared" si="137"/>
        <v>Games David 20171011 $1930</v>
      </c>
      <c r="P441">
        <f t="shared" si="138"/>
        <v>6</v>
      </c>
      <c r="Q441">
        <f t="shared" si="139"/>
        <v>12</v>
      </c>
      <c r="R441">
        <f t="shared" si="140"/>
        <v>21</v>
      </c>
      <c r="S441" t="str">
        <f t="shared" si="141"/>
        <v>Games</v>
      </c>
      <c r="T441" t="str">
        <f t="shared" si="142"/>
        <v>David</v>
      </c>
      <c r="U441" t="str">
        <f t="shared" si="143"/>
        <v>20171011</v>
      </c>
      <c r="V441" t="str">
        <f t="shared" si="144"/>
        <v>1930</v>
      </c>
      <c r="W441" s="4">
        <f t="shared" si="145"/>
        <v>43019</v>
      </c>
      <c r="X441" s="5">
        <f t="shared" si="146"/>
        <v>1930</v>
      </c>
    </row>
    <row r="442" spans="3:24" x14ac:dyDescent="0.35">
      <c r="C442" s="2">
        <f t="shared" si="126"/>
        <v>441</v>
      </c>
      <c r="D442" t="s">
        <v>440</v>
      </c>
      <c r="E442">
        <f t="shared" si="127"/>
        <v>29</v>
      </c>
      <c r="F442" t="str">
        <f t="shared" si="128"/>
        <v xml:space="preserve">////PR:Books___SP:Carol20171018 $529   </v>
      </c>
      <c r="G442">
        <f t="shared" si="129"/>
        <v>32</v>
      </c>
      <c r="H442" t="str">
        <f t="shared" si="130"/>
        <v>////PR:Books___SP:Carol20171018 $529</v>
      </c>
      <c r="I442">
        <f t="shared" si="131"/>
        <v>57</v>
      </c>
      <c r="J442" t="str">
        <f t="shared" si="132"/>
        <v>PR:Books___SP:Carol20171018 $529</v>
      </c>
      <c r="K442" t="str">
        <f t="shared" si="133"/>
        <v>PR:Books   SP:Carol20171018 $529</v>
      </c>
      <c r="L442" t="str">
        <f t="shared" si="134"/>
        <v>Books   SP:Carol20171018 $529</v>
      </c>
      <c r="M442" t="str">
        <f t="shared" si="135"/>
        <v>Books   Carol20171018 $529</v>
      </c>
      <c r="N442" t="str">
        <f t="shared" si="136"/>
        <v>Books Carol20171018 $529</v>
      </c>
      <c r="O442" t="str">
        <f t="shared" si="137"/>
        <v>Books Carol 20171018 $529</v>
      </c>
      <c r="P442">
        <f t="shared" si="138"/>
        <v>6</v>
      </c>
      <c r="Q442">
        <f t="shared" si="139"/>
        <v>12</v>
      </c>
      <c r="R442">
        <f t="shared" si="140"/>
        <v>21</v>
      </c>
      <c r="S442" t="str">
        <f t="shared" si="141"/>
        <v>Books</v>
      </c>
      <c r="T442" t="str">
        <f t="shared" si="142"/>
        <v>Carol</v>
      </c>
      <c r="U442" t="str">
        <f t="shared" si="143"/>
        <v>20171018</v>
      </c>
      <c r="V442" t="str">
        <f t="shared" si="144"/>
        <v>529</v>
      </c>
      <c r="W442" s="4">
        <f t="shared" si="145"/>
        <v>43026</v>
      </c>
      <c r="X442" s="5">
        <f t="shared" si="146"/>
        <v>529</v>
      </c>
    </row>
    <row r="443" spans="3:24" x14ac:dyDescent="0.35">
      <c r="C443" s="2">
        <f t="shared" si="126"/>
        <v>442</v>
      </c>
      <c r="D443" t="s">
        <v>441</v>
      </c>
      <c r="E443">
        <f t="shared" si="127"/>
        <v>28</v>
      </c>
      <c r="F443" t="str">
        <f t="shared" si="128"/>
        <v xml:space="preserve">//PR:Clothing_____SP:Alice20171020 $688 </v>
      </c>
      <c r="G443">
        <f t="shared" si="129"/>
        <v>32</v>
      </c>
      <c r="H443" t="str">
        <f t="shared" si="130"/>
        <v>//PR:Clothing_____SP:Alice20171020 $688</v>
      </c>
      <c r="I443">
        <f t="shared" si="131"/>
        <v>56</v>
      </c>
      <c r="J443" t="str">
        <f t="shared" si="132"/>
        <v>PR:Clothing_____SP:Alice20171020 $688</v>
      </c>
      <c r="K443" t="str">
        <f t="shared" si="133"/>
        <v>PR:Clothing     SP:Alice20171020 $688</v>
      </c>
      <c r="L443" t="str">
        <f t="shared" si="134"/>
        <v>Clothing     SP:Alice20171020 $688</v>
      </c>
      <c r="M443" t="str">
        <f t="shared" si="135"/>
        <v>Clothing     Alice20171020 $688</v>
      </c>
      <c r="N443" t="str">
        <f t="shared" si="136"/>
        <v>Clothing Alice20171020 $688</v>
      </c>
      <c r="O443" t="str">
        <f t="shared" si="137"/>
        <v>Clothing Alice 20171020 $688</v>
      </c>
      <c r="P443">
        <f t="shared" si="138"/>
        <v>9</v>
      </c>
      <c r="Q443">
        <f t="shared" si="139"/>
        <v>15</v>
      </c>
      <c r="R443">
        <f t="shared" si="140"/>
        <v>24</v>
      </c>
      <c r="S443" t="str">
        <f t="shared" si="141"/>
        <v>Clothing</v>
      </c>
      <c r="T443" t="str">
        <f t="shared" si="142"/>
        <v>Alice</v>
      </c>
      <c r="U443" t="str">
        <f t="shared" si="143"/>
        <v>20171020</v>
      </c>
      <c r="V443" t="str">
        <f t="shared" si="144"/>
        <v>688</v>
      </c>
      <c r="W443" s="4">
        <f t="shared" si="145"/>
        <v>43028</v>
      </c>
      <c r="X443" s="5">
        <f t="shared" si="146"/>
        <v>688</v>
      </c>
    </row>
    <row r="444" spans="3:24" x14ac:dyDescent="0.35">
      <c r="C444" s="2">
        <f t="shared" si="126"/>
        <v>443</v>
      </c>
      <c r="D444" t="s">
        <v>442</v>
      </c>
      <c r="E444">
        <f t="shared" si="127"/>
        <v>30</v>
      </c>
      <c r="F444" t="str">
        <f t="shared" si="128"/>
        <v xml:space="preserve">/PR:Games__SP:David20171016    $0  </v>
      </c>
      <c r="G444">
        <f t="shared" si="129"/>
        <v>32</v>
      </c>
      <c r="H444" t="str">
        <f t="shared" si="130"/>
        <v>/PR:Games__SP:David20171016    $0</v>
      </c>
      <c r="I444">
        <f t="shared" si="131"/>
        <v>48</v>
      </c>
      <c r="J444" t="str">
        <f t="shared" si="132"/>
        <v>PR:Games__SP:David20171016    $0</v>
      </c>
      <c r="K444" t="str">
        <f t="shared" si="133"/>
        <v>PR:Games  SP:David20171016    $0</v>
      </c>
      <c r="L444" t="str">
        <f t="shared" si="134"/>
        <v>Games  SP:David20171016    $0</v>
      </c>
      <c r="M444" t="str">
        <f t="shared" si="135"/>
        <v>Games  David20171016    $0</v>
      </c>
      <c r="N444" t="str">
        <f t="shared" si="136"/>
        <v>Games David20171016 $0</v>
      </c>
      <c r="O444" t="str">
        <f t="shared" si="137"/>
        <v>Games David 20171016 $0</v>
      </c>
      <c r="P444">
        <f t="shared" si="138"/>
        <v>6</v>
      </c>
      <c r="Q444">
        <f t="shared" si="139"/>
        <v>12</v>
      </c>
      <c r="R444">
        <f t="shared" si="140"/>
        <v>21</v>
      </c>
      <c r="S444" t="str">
        <f t="shared" si="141"/>
        <v>Games</v>
      </c>
      <c r="T444" t="str">
        <f t="shared" si="142"/>
        <v>David</v>
      </c>
      <c r="U444" t="str">
        <f t="shared" si="143"/>
        <v>20171016</v>
      </c>
      <c r="V444" t="str">
        <f t="shared" si="144"/>
        <v>0</v>
      </c>
      <c r="W444" s="4">
        <f t="shared" si="145"/>
        <v>43024</v>
      </c>
      <c r="X444" s="5">
        <f t="shared" si="146"/>
        <v>0</v>
      </c>
    </row>
    <row r="445" spans="3:24" x14ac:dyDescent="0.35">
      <c r="C445" s="2">
        <f t="shared" si="126"/>
        <v>444</v>
      </c>
      <c r="D445" t="s">
        <v>443</v>
      </c>
      <c r="E445">
        <f t="shared" si="127"/>
        <v>28</v>
      </c>
      <c r="F445" t="str">
        <f t="shared" si="128"/>
        <v xml:space="preserve">/PR:Books_SP:Carol2017107     $0   </v>
      </c>
      <c r="G445">
        <f t="shared" si="129"/>
        <v>32</v>
      </c>
      <c r="H445" t="str">
        <f t="shared" si="130"/>
        <v>/PR:Books_SP:Carol2017107     $0</v>
      </c>
      <c r="I445">
        <f t="shared" si="131"/>
        <v>48</v>
      </c>
      <c r="J445" t="str">
        <f t="shared" si="132"/>
        <v>PR:Books_SP:Carol2017107     $0</v>
      </c>
      <c r="K445" t="str">
        <f t="shared" si="133"/>
        <v>PR:Books SP:Carol2017107     $0</v>
      </c>
      <c r="L445" t="str">
        <f t="shared" si="134"/>
        <v>Books SP:Carol2017107     $0</v>
      </c>
      <c r="M445" t="str">
        <f t="shared" si="135"/>
        <v>Books Carol2017107     $0</v>
      </c>
      <c r="N445" t="str">
        <f t="shared" si="136"/>
        <v>Books Carol2017107 $0</v>
      </c>
      <c r="O445" t="str">
        <f t="shared" si="137"/>
        <v>Books Carol 2017107 $0</v>
      </c>
      <c r="P445">
        <f t="shared" si="138"/>
        <v>6</v>
      </c>
      <c r="Q445">
        <f t="shared" si="139"/>
        <v>12</v>
      </c>
      <c r="R445">
        <f t="shared" si="140"/>
        <v>20</v>
      </c>
      <c r="S445" t="str">
        <f t="shared" si="141"/>
        <v>Books</v>
      </c>
      <c r="T445" t="str">
        <f t="shared" si="142"/>
        <v>Carol</v>
      </c>
      <c r="U445" t="str">
        <f t="shared" si="143"/>
        <v>2017107</v>
      </c>
      <c r="V445" t="str">
        <f t="shared" si="144"/>
        <v>0</v>
      </c>
      <c r="W445" s="4">
        <f t="shared" si="145"/>
        <v>43015</v>
      </c>
      <c r="X445" s="5">
        <f t="shared" si="146"/>
        <v>0</v>
      </c>
    </row>
    <row r="446" spans="3:24" x14ac:dyDescent="0.35">
      <c r="C446" s="2">
        <f t="shared" si="126"/>
        <v>445</v>
      </c>
      <c r="D446" t="s">
        <v>444</v>
      </c>
      <c r="E446">
        <f t="shared" si="127"/>
        <v>28</v>
      </c>
      <c r="F446" t="str">
        <f t="shared" si="128"/>
        <v xml:space="preserve">///PR:Music__SP:Alice20171029  $1338     </v>
      </c>
      <c r="G446">
        <f t="shared" si="129"/>
        <v>32</v>
      </c>
      <c r="H446" t="str">
        <f t="shared" si="130"/>
        <v>///PR:Music__SP:Alice20171029  $1338</v>
      </c>
      <c r="I446">
        <f t="shared" si="131"/>
        <v>56</v>
      </c>
      <c r="J446" t="str">
        <f t="shared" si="132"/>
        <v>PR:Music__SP:Alice20171029  $1338</v>
      </c>
      <c r="K446" t="str">
        <f t="shared" si="133"/>
        <v>PR:Music  SP:Alice20171029  $1338</v>
      </c>
      <c r="L446" t="str">
        <f t="shared" si="134"/>
        <v>Music  SP:Alice20171029  $1338</v>
      </c>
      <c r="M446" t="str">
        <f t="shared" si="135"/>
        <v>Music  Alice20171029  $1338</v>
      </c>
      <c r="N446" t="str">
        <f t="shared" si="136"/>
        <v>Music Alice20171029 $1338</v>
      </c>
      <c r="O446" t="str">
        <f t="shared" si="137"/>
        <v>Music Alice 20171029 $1338</v>
      </c>
      <c r="P446">
        <f t="shared" si="138"/>
        <v>6</v>
      </c>
      <c r="Q446">
        <f t="shared" si="139"/>
        <v>12</v>
      </c>
      <c r="R446">
        <f t="shared" si="140"/>
        <v>21</v>
      </c>
      <c r="S446" t="str">
        <f t="shared" si="141"/>
        <v>Music</v>
      </c>
      <c r="T446" t="str">
        <f t="shared" si="142"/>
        <v>Alice</v>
      </c>
      <c r="U446" t="str">
        <f t="shared" si="143"/>
        <v>20171029</v>
      </c>
      <c r="V446" t="str">
        <f t="shared" si="144"/>
        <v>1338</v>
      </c>
      <c r="W446" s="4">
        <f t="shared" si="145"/>
        <v>43037</v>
      </c>
      <c r="X446" s="5">
        <f t="shared" si="146"/>
        <v>1338</v>
      </c>
    </row>
    <row r="447" spans="3:24" x14ac:dyDescent="0.35">
      <c r="C447" s="2">
        <f t="shared" si="126"/>
        <v>446</v>
      </c>
      <c r="D447" t="s">
        <v>445</v>
      </c>
      <c r="E447">
        <f t="shared" si="127"/>
        <v>30</v>
      </c>
      <c r="F447" t="str">
        <f t="shared" si="128"/>
        <v xml:space="preserve">//PR:Books__SP:Barney20171030   $695    </v>
      </c>
      <c r="G447">
        <f t="shared" si="129"/>
        <v>32</v>
      </c>
      <c r="H447" t="str">
        <f t="shared" si="130"/>
        <v>//PR:Books__SP:Barney20171030   $695</v>
      </c>
      <c r="I447">
        <f t="shared" si="131"/>
        <v>53</v>
      </c>
      <c r="J447" t="str">
        <f t="shared" si="132"/>
        <v>PR:Books__SP:Barney20171030   $695</v>
      </c>
      <c r="K447" t="str">
        <f t="shared" si="133"/>
        <v>PR:Books  SP:Barney20171030   $695</v>
      </c>
      <c r="L447" t="str">
        <f t="shared" si="134"/>
        <v>Books  SP:Barney20171030   $695</v>
      </c>
      <c r="M447" t="str">
        <f t="shared" si="135"/>
        <v>Books  Barney20171030   $695</v>
      </c>
      <c r="N447" t="str">
        <f t="shared" si="136"/>
        <v>Books Barney20171030 $695</v>
      </c>
      <c r="O447" t="str">
        <f t="shared" si="137"/>
        <v>Books Barney 20171030 $695</v>
      </c>
      <c r="P447">
        <f t="shared" si="138"/>
        <v>6</v>
      </c>
      <c r="Q447">
        <f t="shared" si="139"/>
        <v>13</v>
      </c>
      <c r="R447">
        <f t="shared" si="140"/>
        <v>22</v>
      </c>
      <c r="S447" t="str">
        <f t="shared" si="141"/>
        <v>Books</v>
      </c>
      <c r="T447" t="str">
        <f t="shared" si="142"/>
        <v>Barney</v>
      </c>
      <c r="U447" t="str">
        <f t="shared" si="143"/>
        <v>20171030</v>
      </c>
      <c r="V447" t="str">
        <f t="shared" si="144"/>
        <v>695</v>
      </c>
      <c r="W447" s="4">
        <f t="shared" si="145"/>
        <v>43038</v>
      </c>
      <c r="X447" s="5">
        <f t="shared" si="146"/>
        <v>695</v>
      </c>
    </row>
    <row r="448" spans="3:24" x14ac:dyDescent="0.35">
      <c r="C448" s="2">
        <f t="shared" si="126"/>
        <v>447</v>
      </c>
      <c r="D448" t="s">
        <v>446</v>
      </c>
      <c r="E448">
        <f t="shared" si="127"/>
        <v>28</v>
      </c>
      <c r="F448" t="str">
        <f t="shared" si="128"/>
        <v xml:space="preserve">//PR:Books_____SP:Alice20171028   $543 </v>
      </c>
      <c r="G448">
        <f t="shared" si="129"/>
        <v>32</v>
      </c>
      <c r="H448" t="str">
        <f t="shared" si="130"/>
        <v>//PR:Books_____SP:Alice20171028   $543</v>
      </c>
      <c r="I448">
        <f t="shared" si="131"/>
        <v>51</v>
      </c>
      <c r="J448" t="str">
        <f t="shared" si="132"/>
        <v>PR:Books_____SP:Alice20171028   $543</v>
      </c>
      <c r="K448" t="str">
        <f t="shared" si="133"/>
        <v>PR:Books     SP:Alice20171028   $543</v>
      </c>
      <c r="L448" t="str">
        <f t="shared" si="134"/>
        <v>Books     SP:Alice20171028   $543</v>
      </c>
      <c r="M448" t="str">
        <f t="shared" si="135"/>
        <v>Books     Alice20171028   $543</v>
      </c>
      <c r="N448" t="str">
        <f t="shared" si="136"/>
        <v>Books Alice20171028 $543</v>
      </c>
      <c r="O448" t="str">
        <f t="shared" si="137"/>
        <v>Books Alice 20171028 $543</v>
      </c>
      <c r="P448">
        <f t="shared" si="138"/>
        <v>6</v>
      </c>
      <c r="Q448">
        <f t="shared" si="139"/>
        <v>12</v>
      </c>
      <c r="R448">
        <f t="shared" si="140"/>
        <v>21</v>
      </c>
      <c r="S448" t="str">
        <f t="shared" si="141"/>
        <v>Books</v>
      </c>
      <c r="T448" t="str">
        <f t="shared" si="142"/>
        <v>Alice</v>
      </c>
      <c r="U448" t="str">
        <f t="shared" si="143"/>
        <v>20171028</v>
      </c>
      <c r="V448" t="str">
        <f t="shared" si="144"/>
        <v>543</v>
      </c>
      <c r="W448" s="4">
        <f t="shared" si="145"/>
        <v>43036</v>
      </c>
      <c r="X448" s="5">
        <f t="shared" si="146"/>
        <v>543</v>
      </c>
    </row>
    <row r="449" spans="3:24" x14ac:dyDescent="0.35">
      <c r="C449" s="2">
        <f t="shared" si="126"/>
        <v>448</v>
      </c>
      <c r="D449" t="s">
        <v>447</v>
      </c>
      <c r="E449">
        <f t="shared" si="127"/>
        <v>30</v>
      </c>
      <c r="F449" t="str">
        <f t="shared" si="128"/>
        <v xml:space="preserve">/////PR:Music____SP:Alice20171016    $0  </v>
      </c>
      <c r="G449">
        <f t="shared" si="129"/>
        <v>32</v>
      </c>
      <c r="H449" t="str">
        <f t="shared" si="130"/>
        <v>/////PR:Music____SP:Alice20171016    $0</v>
      </c>
      <c r="I449">
        <f t="shared" si="131"/>
        <v>48</v>
      </c>
      <c r="J449" t="str">
        <f t="shared" si="132"/>
        <v>PR:Music____SP:Alice20171016    $0</v>
      </c>
      <c r="K449" t="str">
        <f t="shared" si="133"/>
        <v>PR:Music    SP:Alice20171016    $0</v>
      </c>
      <c r="L449" t="str">
        <f t="shared" si="134"/>
        <v>Music    SP:Alice20171016    $0</v>
      </c>
      <c r="M449" t="str">
        <f t="shared" si="135"/>
        <v>Music    Alice20171016    $0</v>
      </c>
      <c r="N449" t="str">
        <f t="shared" si="136"/>
        <v>Music Alice20171016 $0</v>
      </c>
      <c r="O449" t="str">
        <f t="shared" si="137"/>
        <v>Music Alice 20171016 $0</v>
      </c>
      <c r="P449">
        <f t="shared" si="138"/>
        <v>6</v>
      </c>
      <c r="Q449">
        <f t="shared" si="139"/>
        <v>12</v>
      </c>
      <c r="R449">
        <f t="shared" si="140"/>
        <v>21</v>
      </c>
      <c r="S449" t="str">
        <f t="shared" si="141"/>
        <v>Music</v>
      </c>
      <c r="T449" t="str">
        <f t="shared" si="142"/>
        <v>Alice</v>
      </c>
      <c r="U449" t="str">
        <f t="shared" si="143"/>
        <v>20171016</v>
      </c>
      <c r="V449" t="str">
        <f t="shared" si="144"/>
        <v>0</v>
      </c>
      <c r="W449" s="4">
        <f t="shared" si="145"/>
        <v>43024</v>
      </c>
      <c r="X449" s="5">
        <f t="shared" si="146"/>
        <v>0</v>
      </c>
    </row>
    <row r="450" spans="3:24" x14ac:dyDescent="0.35">
      <c r="C450" s="2">
        <f t="shared" si="126"/>
        <v>449</v>
      </c>
      <c r="D450" t="s">
        <v>448</v>
      </c>
      <c r="E450">
        <f t="shared" si="127"/>
        <v>28</v>
      </c>
      <c r="F450" t="str">
        <f t="shared" si="128"/>
        <v xml:space="preserve">/////PR:Books___SP:Alice20171018    $523  </v>
      </c>
      <c r="G450">
        <f t="shared" si="129"/>
        <v>32</v>
      </c>
      <c r="H450" t="str">
        <f t="shared" si="130"/>
        <v>/////PR:Books___SP:Alice20171018    $523</v>
      </c>
      <c r="I450">
        <f t="shared" si="131"/>
        <v>51</v>
      </c>
      <c r="J450" t="str">
        <f t="shared" si="132"/>
        <v>PR:Books___SP:Alice20171018    $523</v>
      </c>
      <c r="K450" t="str">
        <f t="shared" si="133"/>
        <v>PR:Books   SP:Alice20171018    $523</v>
      </c>
      <c r="L450" t="str">
        <f t="shared" si="134"/>
        <v>Books   SP:Alice20171018    $523</v>
      </c>
      <c r="M450" t="str">
        <f t="shared" si="135"/>
        <v>Books   Alice20171018    $523</v>
      </c>
      <c r="N450" t="str">
        <f t="shared" si="136"/>
        <v>Books Alice20171018 $523</v>
      </c>
      <c r="O450" t="str">
        <f t="shared" si="137"/>
        <v>Books Alice 20171018 $523</v>
      </c>
      <c r="P450">
        <f t="shared" si="138"/>
        <v>6</v>
      </c>
      <c r="Q450">
        <f t="shared" si="139"/>
        <v>12</v>
      </c>
      <c r="R450">
        <f t="shared" si="140"/>
        <v>21</v>
      </c>
      <c r="S450" t="str">
        <f t="shared" si="141"/>
        <v>Books</v>
      </c>
      <c r="T450" t="str">
        <f t="shared" si="142"/>
        <v>Alice</v>
      </c>
      <c r="U450" t="str">
        <f t="shared" si="143"/>
        <v>20171018</v>
      </c>
      <c r="V450" t="str">
        <f t="shared" si="144"/>
        <v>523</v>
      </c>
      <c r="W450" s="4">
        <f t="shared" si="145"/>
        <v>43026</v>
      </c>
      <c r="X450" s="5">
        <f t="shared" si="146"/>
        <v>523</v>
      </c>
    </row>
    <row r="451" spans="3:24" x14ac:dyDescent="0.35">
      <c r="C451" s="2">
        <f t="shared" ref="C451:C497" si="147">C450+1</f>
        <v>450</v>
      </c>
      <c r="D451" t="s">
        <v>449</v>
      </c>
      <c r="E451">
        <f t="shared" ref="E451:E497" si="148">CODE(RIGHT(D451,1))</f>
        <v>31</v>
      </c>
      <c r="F451" t="str">
        <f t="shared" ref="F451:F497" si="149">CLEAN(D451)</f>
        <v xml:space="preserve">/////PR:Games_SP:Alice2017108     $1218   </v>
      </c>
      <c r="G451">
        <f t="shared" ref="G451:G497" si="150">CODE(RIGHT(F451,1))</f>
        <v>32</v>
      </c>
      <c r="H451" t="str">
        <f t="shared" ref="H451:H497" si="151">TRIM(F451)</f>
        <v>/////PR:Games_SP:Alice2017108     $1218</v>
      </c>
      <c r="I451">
        <f t="shared" ref="I451:I497" si="152">CODE(RIGHT(H451,1))</f>
        <v>56</v>
      </c>
      <c r="J451" t="str">
        <f t="shared" ref="J451:J497" si="153">SUBSTITUTE(H451,"/","")</f>
        <v>PR:Games_SP:Alice2017108     $1218</v>
      </c>
      <c r="K451" t="str">
        <f t="shared" ref="K451:K497" si="154">SUBSTITUTE(J451,"_"," ")</f>
        <v>PR:Games SP:Alice2017108     $1218</v>
      </c>
      <c r="L451" t="str">
        <f t="shared" ref="L451:L497" si="155">SUBSTITUTE(K451,"PR:","")</f>
        <v>Games SP:Alice2017108     $1218</v>
      </c>
      <c r="M451" t="str">
        <f t="shared" ref="M451:M497" si="156">SUBSTITUTE(L451,"SP:","")</f>
        <v>Games Alice2017108     $1218</v>
      </c>
      <c r="N451" t="str">
        <f t="shared" ref="N451:N497" si="157">TRIM(SUBSTITUTE(M451,CHAR(160)," "))</f>
        <v>Games Alice2017108 $1218</v>
      </c>
      <c r="O451" t="str">
        <f t="shared" ref="O451:O497" si="158">SUBSTITUTE(N451,"2017"," 2017")</f>
        <v>Games Alice 2017108 $1218</v>
      </c>
      <c r="P451">
        <f t="shared" ref="P451:P497" si="159">SEARCH(" ",O451,1)</f>
        <v>6</v>
      </c>
      <c r="Q451">
        <f t="shared" ref="Q451:Q497" si="160">SEARCH(" ",O451,P451+1)</f>
        <v>12</v>
      </c>
      <c r="R451">
        <f t="shared" ref="R451:R497" si="161">SEARCH(" ",O451,Q451+1)</f>
        <v>20</v>
      </c>
      <c r="S451" t="str">
        <f t="shared" ref="S451:S497" si="162">LEFT(O451,P451-1)</f>
        <v>Games</v>
      </c>
      <c r="T451" t="str">
        <f t="shared" ref="T451:T497" si="163">MID(O451,P451+1,Q451-P451-1)</f>
        <v>Alice</v>
      </c>
      <c r="U451" t="str">
        <f t="shared" ref="U451:U497" si="164">MID(O451,Q451+1,R451-Q451-1)</f>
        <v>2017108</v>
      </c>
      <c r="V451" t="str">
        <f t="shared" ref="V451:V497" si="165">MID(O451,R451+2,99)</f>
        <v>1218</v>
      </c>
      <c r="W451" s="4">
        <f t="shared" ref="W451:W497" si="166">DATE(2017,10,MID(U451,7,2))</f>
        <v>43016</v>
      </c>
      <c r="X451" s="5">
        <f t="shared" ref="X451:X497" si="167">VALUE(V451)</f>
        <v>1218</v>
      </c>
    </row>
    <row r="452" spans="3:24" x14ac:dyDescent="0.35">
      <c r="C452" s="2">
        <f t="shared" si="147"/>
        <v>451</v>
      </c>
      <c r="D452" t="s">
        <v>450</v>
      </c>
      <c r="E452">
        <f t="shared" si="148"/>
        <v>28</v>
      </c>
      <c r="F452" t="str">
        <f t="shared" si="149"/>
        <v xml:space="preserve">///PR:Books_SP:Barney20171025     $838    </v>
      </c>
      <c r="G452">
        <f t="shared" si="150"/>
        <v>32</v>
      </c>
      <c r="H452" t="str">
        <f t="shared" si="151"/>
        <v>///PR:Books_SP:Barney20171025     $838</v>
      </c>
      <c r="I452">
        <f t="shared" si="152"/>
        <v>56</v>
      </c>
      <c r="J452" t="str">
        <f t="shared" si="153"/>
        <v>PR:Books_SP:Barney20171025     $838</v>
      </c>
      <c r="K452" t="str">
        <f t="shared" si="154"/>
        <v>PR:Books SP:Barney20171025     $838</v>
      </c>
      <c r="L452" t="str">
        <f t="shared" si="155"/>
        <v>Books SP:Barney20171025     $838</v>
      </c>
      <c r="M452" t="str">
        <f t="shared" si="156"/>
        <v>Books Barney20171025     $838</v>
      </c>
      <c r="N452" t="str">
        <f t="shared" si="157"/>
        <v>Books Barney20171025 $838</v>
      </c>
      <c r="O452" t="str">
        <f t="shared" si="158"/>
        <v>Books Barney 20171025 $838</v>
      </c>
      <c r="P452">
        <f t="shared" si="159"/>
        <v>6</v>
      </c>
      <c r="Q452">
        <f t="shared" si="160"/>
        <v>13</v>
      </c>
      <c r="R452">
        <f t="shared" si="161"/>
        <v>22</v>
      </c>
      <c r="S452" t="str">
        <f t="shared" si="162"/>
        <v>Books</v>
      </c>
      <c r="T452" t="str">
        <f t="shared" si="163"/>
        <v>Barney</v>
      </c>
      <c r="U452" t="str">
        <f t="shared" si="164"/>
        <v>20171025</v>
      </c>
      <c r="V452" t="str">
        <f t="shared" si="165"/>
        <v>838</v>
      </c>
      <c r="W452" s="4">
        <f t="shared" si="166"/>
        <v>43033</v>
      </c>
      <c r="X452" s="5">
        <f t="shared" si="167"/>
        <v>838</v>
      </c>
    </row>
    <row r="453" spans="3:24" x14ac:dyDescent="0.35">
      <c r="C453" s="2">
        <f t="shared" si="147"/>
        <v>452</v>
      </c>
      <c r="D453" t="s">
        <v>451</v>
      </c>
      <c r="E453">
        <f t="shared" si="148"/>
        <v>31</v>
      </c>
      <c r="F453" t="str">
        <f t="shared" si="149"/>
        <v xml:space="preserve">//PR:Games__SP:David20171018     $1893     </v>
      </c>
      <c r="G453">
        <f t="shared" si="150"/>
        <v>32</v>
      </c>
      <c r="H453" t="str">
        <f t="shared" si="151"/>
        <v>//PR:Games__SP:David20171018     $1893</v>
      </c>
      <c r="I453">
        <f t="shared" si="152"/>
        <v>51</v>
      </c>
      <c r="J453" t="str">
        <f t="shared" si="153"/>
        <v>PR:Games__SP:David20171018     $1893</v>
      </c>
      <c r="K453" t="str">
        <f t="shared" si="154"/>
        <v>PR:Games  SP:David20171018     $1893</v>
      </c>
      <c r="L453" t="str">
        <f t="shared" si="155"/>
        <v>Games  SP:David20171018     $1893</v>
      </c>
      <c r="M453" t="str">
        <f t="shared" si="156"/>
        <v>Games  David20171018     $1893</v>
      </c>
      <c r="N453" t="str">
        <f t="shared" si="157"/>
        <v>Games David20171018 $1893</v>
      </c>
      <c r="O453" t="str">
        <f t="shared" si="158"/>
        <v>Games David 20171018 $1893</v>
      </c>
      <c r="P453">
        <f t="shared" si="159"/>
        <v>6</v>
      </c>
      <c r="Q453">
        <f t="shared" si="160"/>
        <v>12</v>
      </c>
      <c r="R453">
        <f t="shared" si="161"/>
        <v>21</v>
      </c>
      <c r="S453" t="str">
        <f t="shared" si="162"/>
        <v>Games</v>
      </c>
      <c r="T453" t="str">
        <f t="shared" si="163"/>
        <v>David</v>
      </c>
      <c r="U453" t="str">
        <f t="shared" si="164"/>
        <v>20171018</v>
      </c>
      <c r="V453" t="str">
        <f t="shared" si="165"/>
        <v>1893</v>
      </c>
      <c r="W453" s="4">
        <f t="shared" si="166"/>
        <v>43026</v>
      </c>
      <c r="X453" s="5">
        <f t="shared" si="167"/>
        <v>1893</v>
      </c>
    </row>
    <row r="454" spans="3:24" x14ac:dyDescent="0.35">
      <c r="C454" s="2">
        <f t="shared" si="147"/>
        <v>453</v>
      </c>
      <c r="D454" t="s">
        <v>452</v>
      </c>
      <c r="E454">
        <f t="shared" si="148"/>
        <v>29</v>
      </c>
      <c r="F454" t="str">
        <f t="shared" si="149"/>
        <v xml:space="preserve">//PR:Clothing_____SP:Alice2017109  $989 </v>
      </c>
      <c r="G454">
        <f t="shared" si="150"/>
        <v>32</v>
      </c>
      <c r="H454" t="str">
        <f t="shared" si="151"/>
        <v>//PR:Clothing_____SP:Alice2017109  $989</v>
      </c>
      <c r="I454">
        <f t="shared" si="152"/>
        <v>57</v>
      </c>
      <c r="J454" t="str">
        <f t="shared" si="153"/>
        <v>PR:Clothing_____SP:Alice2017109  $989</v>
      </c>
      <c r="K454" t="str">
        <f t="shared" si="154"/>
        <v>PR:Clothing     SP:Alice2017109  $989</v>
      </c>
      <c r="L454" t="str">
        <f t="shared" si="155"/>
        <v>Clothing     SP:Alice2017109  $989</v>
      </c>
      <c r="M454" t="str">
        <f t="shared" si="156"/>
        <v>Clothing     Alice2017109  $989</v>
      </c>
      <c r="N454" t="str">
        <f t="shared" si="157"/>
        <v>Clothing Alice2017109 $989</v>
      </c>
      <c r="O454" t="str">
        <f t="shared" si="158"/>
        <v>Clothing Alice 2017109 $989</v>
      </c>
      <c r="P454">
        <f t="shared" si="159"/>
        <v>9</v>
      </c>
      <c r="Q454">
        <f t="shared" si="160"/>
        <v>15</v>
      </c>
      <c r="R454">
        <f t="shared" si="161"/>
        <v>23</v>
      </c>
      <c r="S454" t="str">
        <f t="shared" si="162"/>
        <v>Clothing</v>
      </c>
      <c r="T454" t="str">
        <f t="shared" si="163"/>
        <v>Alice</v>
      </c>
      <c r="U454" t="str">
        <f t="shared" si="164"/>
        <v>2017109</v>
      </c>
      <c r="V454" t="str">
        <f t="shared" si="165"/>
        <v>989</v>
      </c>
      <c r="W454" s="4">
        <f t="shared" si="166"/>
        <v>43017</v>
      </c>
      <c r="X454" s="5">
        <f t="shared" si="167"/>
        <v>989</v>
      </c>
    </row>
    <row r="455" spans="3:24" x14ac:dyDescent="0.35">
      <c r="C455" s="2">
        <f t="shared" si="147"/>
        <v>454</v>
      </c>
      <c r="D455" t="s">
        <v>453</v>
      </c>
      <c r="E455">
        <f t="shared" si="148"/>
        <v>31</v>
      </c>
      <c r="F455" t="str">
        <f t="shared" si="149"/>
        <v xml:space="preserve">////PR:Music___SP:Barney20171014   $1144    </v>
      </c>
      <c r="G455">
        <f t="shared" si="150"/>
        <v>32</v>
      </c>
      <c r="H455" t="str">
        <f t="shared" si="151"/>
        <v>////PR:Music___SP:Barney20171014   $1144</v>
      </c>
      <c r="I455">
        <f t="shared" si="152"/>
        <v>52</v>
      </c>
      <c r="J455" t="str">
        <f t="shared" si="153"/>
        <v>PR:Music___SP:Barney20171014   $1144</v>
      </c>
      <c r="K455" t="str">
        <f t="shared" si="154"/>
        <v>PR:Music   SP:Barney20171014   $1144</v>
      </c>
      <c r="L455" t="str">
        <f t="shared" si="155"/>
        <v>Music   SP:Barney20171014   $1144</v>
      </c>
      <c r="M455" t="str">
        <f t="shared" si="156"/>
        <v>Music   Barney20171014   $1144</v>
      </c>
      <c r="N455" t="str">
        <f t="shared" si="157"/>
        <v>Music Barney20171014 $1144</v>
      </c>
      <c r="O455" t="str">
        <f t="shared" si="158"/>
        <v>Music Barney 20171014 $1144</v>
      </c>
      <c r="P455">
        <f t="shared" si="159"/>
        <v>6</v>
      </c>
      <c r="Q455">
        <f t="shared" si="160"/>
        <v>13</v>
      </c>
      <c r="R455">
        <f t="shared" si="161"/>
        <v>22</v>
      </c>
      <c r="S455" t="str">
        <f t="shared" si="162"/>
        <v>Music</v>
      </c>
      <c r="T455" t="str">
        <f t="shared" si="163"/>
        <v>Barney</v>
      </c>
      <c r="U455" t="str">
        <f t="shared" si="164"/>
        <v>20171014</v>
      </c>
      <c r="V455" t="str">
        <f t="shared" si="165"/>
        <v>1144</v>
      </c>
      <c r="W455" s="4">
        <f t="shared" si="166"/>
        <v>43022</v>
      </c>
      <c r="X455" s="5">
        <f t="shared" si="167"/>
        <v>1144</v>
      </c>
    </row>
    <row r="456" spans="3:24" x14ac:dyDescent="0.35">
      <c r="C456" s="2">
        <f t="shared" si="147"/>
        <v>455</v>
      </c>
      <c r="D456" t="s">
        <v>454</v>
      </c>
      <c r="E456">
        <f t="shared" si="148"/>
        <v>31</v>
      </c>
      <c r="F456" t="str">
        <f t="shared" si="149"/>
        <v xml:space="preserve">//PR:Clothing_____SP:Alice20171022    $1619   </v>
      </c>
      <c r="G456">
        <f t="shared" si="150"/>
        <v>32</v>
      </c>
      <c r="H456" t="str">
        <f t="shared" si="151"/>
        <v>//PR:Clothing_____SP:Alice20171022    $1619</v>
      </c>
      <c r="I456">
        <f t="shared" si="152"/>
        <v>57</v>
      </c>
      <c r="J456" t="str">
        <f t="shared" si="153"/>
        <v>PR:Clothing_____SP:Alice20171022    $1619</v>
      </c>
      <c r="K456" t="str">
        <f t="shared" si="154"/>
        <v>PR:Clothing     SP:Alice20171022    $1619</v>
      </c>
      <c r="L456" t="str">
        <f t="shared" si="155"/>
        <v>Clothing     SP:Alice20171022    $1619</v>
      </c>
      <c r="M456" t="str">
        <f t="shared" si="156"/>
        <v>Clothing     Alice20171022    $1619</v>
      </c>
      <c r="N456" t="str">
        <f t="shared" si="157"/>
        <v>Clothing Alice20171022 $1619</v>
      </c>
      <c r="O456" t="str">
        <f t="shared" si="158"/>
        <v>Clothing Alice 20171022 $1619</v>
      </c>
      <c r="P456">
        <f t="shared" si="159"/>
        <v>9</v>
      </c>
      <c r="Q456">
        <f t="shared" si="160"/>
        <v>15</v>
      </c>
      <c r="R456">
        <f t="shared" si="161"/>
        <v>24</v>
      </c>
      <c r="S456" t="str">
        <f t="shared" si="162"/>
        <v>Clothing</v>
      </c>
      <c r="T456" t="str">
        <f t="shared" si="163"/>
        <v>Alice</v>
      </c>
      <c r="U456" t="str">
        <f t="shared" si="164"/>
        <v>20171022</v>
      </c>
      <c r="V456" t="str">
        <f t="shared" si="165"/>
        <v>1619</v>
      </c>
      <c r="W456" s="4">
        <f t="shared" si="166"/>
        <v>43030</v>
      </c>
      <c r="X456" s="5">
        <f t="shared" si="167"/>
        <v>1619</v>
      </c>
    </row>
    <row r="457" spans="3:24" x14ac:dyDescent="0.35">
      <c r="C457" s="2">
        <f t="shared" si="147"/>
        <v>456</v>
      </c>
      <c r="D457" t="s">
        <v>455</v>
      </c>
      <c r="E457">
        <f t="shared" si="148"/>
        <v>31</v>
      </c>
      <c r="F457" t="str">
        <f t="shared" si="149"/>
        <v xml:space="preserve">/PR:Books_SP:David20171011  $842     </v>
      </c>
      <c r="G457">
        <f t="shared" si="150"/>
        <v>32</v>
      </c>
      <c r="H457" t="str">
        <f t="shared" si="151"/>
        <v>/PR:Books_SP:David20171011  $842</v>
      </c>
      <c r="I457">
        <f t="shared" si="152"/>
        <v>50</v>
      </c>
      <c r="J457" t="str">
        <f t="shared" si="153"/>
        <v>PR:Books_SP:David20171011  $842</v>
      </c>
      <c r="K457" t="str">
        <f t="shared" si="154"/>
        <v>PR:Books SP:David20171011  $842</v>
      </c>
      <c r="L457" t="str">
        <f t="shared" si="155"/>
        <v>Books SP:David20171011  $842</v>
      </c>
      <c r="M457" t="str">
        <f t="shared" si="156"/>
        <v>Books David20171011  $842</v>
      </c>
      <c r="N457" t="str">
        <f t="shared" si="157"/>
        <v>Books David20171011 $842</v>
      </c>
      <c r="O457" t="str">
        <f t="shared" si="158"/>
        <v>Books David 20171011 $842</v>
      </c>
      <c r="P457">
        <f t="shared" si="159"/>
        <v>6</v>
      </c>
      <c r="Q457">
        <f t="shared" si="160"/>
        <v>12</v>
      </c>
      <c r="R457">
        <f t="shared" si="161"/>
        <v>21</v>
      </c>
      <c r="S457" t="str">
        <f t="shared" si="162"/>
        <v>Books</v>
      </c>
      <c r="T457" t="str">
        <f t="shared" si="163"/>
        <v>David</v>
      </c>
      <c r="U457" t="str">
        <f t="shared" si="164"/>
        <v>20171011</v>
      </c>
      <c r="V457" t="str">
        <f t="shared" si="165"/>
        <v>842</v>
      </c>
      <c r="W457" s="4">
        <f t="shared" si="166"/>
        <v>43019</v>
      </c>
      <c r="X457" s="5">
        <f t="shared" si="167"/>
        <v>842</v>
      </c>
    </row>
    <row r="458" spans="3:24" x14ac:dyDescent="0.35">
      <c r="C458" s="2">
        <f t="shared" si="147"/>
        <v>457</v>
      </c>
      <c r="D458" t="s">
        <v>456</v>
      </c>
      <c r="E458">
        <f t="shared" si="148"/>
        <v>28</v>
      </c>
      <c r="F458" t="str">
        <f t="shared" si="149"/>
        <v xml:space="preserve">/PR:Games__SP:Alice2017105  $2369  </v>
      </c>
      <c r="G458">
        <f t="shared" si="150"/>
        <v>32</v>
      </c>
      <c r="H458" t="str">
        <f t="shared" si="151"/>
        <v>/PR:Games__SP:Alice2017105  $2369</v>
      </c>
      <c r="I458">
        <f t="shared" si="152"/>
        <v>57</v>
      </c>
      <c r="J458" t="str">
        <f t="shared" si="153"/>
        <v>PR:Games__SP:Alice2017105  $2369</v>
      </c>
      <c r="K458" t="str">
        <f t="shared" si="154"/>
        <v>PR:Games  SP:Alice2017105  $2369</v>
      </c>
      <c r="L458" t="str">
        <f t="shared" si="155"/>
        <v>Games  SP:Alice2017105  $2369</v>
      </c>
      <c r="M458" t="str">
        <f t="shared" si="156"/>
        <v>Games  Alice2017105  $2369</v>
      </c>
      <c r="N458" t="str">
        <f t="shared" si="157"/>
        <v>Games Alice2017105 $2369</v>
      </c>
      <c r="O458" t="str">
        <f t="shared" si="158"/>
        <v>Games Alice 2017105 $2369</v>
      </c>
      <c r="P458">
        <f t="shared" si="159"/>
        <v>6</v>
      </c>
      <c r="Q458">
        <f t="shared" si="160"/>
        <v>12</v>
      </c>
      <c r="R458">
        <f t="shared" si="161"/>
        <v>20</v>
      </c>
      <c r="S458" t="str">
        <f t="shared" si="162"/>
        <v>Games</v>
      </c>
      <c r="T458" t="str">
        <f t="shared" si="163"/>
        <v>Alice</v>
      </c>
      <c r="U458" t="str">
        <f t="shared" si="164"/>
        <v>2017105</v>
      </c>
      <c r="V458" t="str">
        <f t="shared" si="165"/>
        <v>2369</v>
      </c>
      <c r="W458" s="4">
        <f t="shared" si="166"/>
        <v>43013</v>
      </c>
      <c r="X458" s="5">
        <f t="shared" si="167"/>
        <v>2369</v>
      </c>
    </row>
    <row r="459" spans="3:24" x14ac:dyDescent="0.35">
      <c r="C459" s="2">
        <f t="shared" si="147"/>
        <v>458</v>
      </c>
      <c r="D459" t="s">
        <v>457</v>
      </c>
      <c r="E459">
        <f t="shared" si="148"/>
        <v>28</v>
      </c>
      <c r="F459" t="str">
        <f t="shared" si="149"/>
        <v xml:space="preserve">//PR:Books__SP:Barney2017108 $981    </v>
      </c>
      <c r="G459">
        <f t="shared" si="150"/>
        <v>32</v>
      </c>
      <c r="H459" t="str">
        <f t="shared" si="151"/>
        <v>//PR:Books__SP:Barney2017108 $981</v>
      </c>
      <c r="I459">
        <f t="shared" si="152"/>
        <v>49</v>
      </c>
      <c r="J459" t="str">
        <f t="shared" si="153"/>
        <v>PR:Books__SP:Barney2017108 $981</v>
      </c>
      <c r="K459" t="str">
        <f t="shared" si="154"/>
        <v>PR:Books  SP:Barney2017108 $981</v>
      </c>
      <c r="L459" t="str">
        <f t="shared" si="155"/>
        <v>Books  SP:Barney2017108 $981</v>
      </c>
      <c r="M459" t="str">
        <f t="shared" si="156"/>
        <v>Books  Barney2017108 $981</v>
      </c>
      <c r="N459" t="str">
        <f t="shared" si="157"/>
        <v>Books Barney2017108 $981</v>
      </c>
      <c r="O459" t="str">
        <f t="shared" si="158"/>
        <v>Books Barney 2017108 $981</v>
      </c>
      <c r="P459">
        <f t="shared" si="159"/>
        <v>6</v>
      </c>
      <c r="Q459">
        <f t="shared" si="160"/>
        <v>13</v>
      </c>
      <c r="R459">
        <f t="shared" si="161"/>
        <v>21</v>
      </c>
      <c r="S459" t="str">
        <f t="shared" si="162"/>
        <v>Books</v>
      </c>
      <c r="T459" t="str">
        <f t="shared" si="163"/>
        <v>Barney</v>
      </c>
      <c r="U459" t="str">
        <f t="shared" si="164"/>
        <v>2017108</v>
      </c>
      <c r="V459" t="str">
        <f t="shared" si="165"/>
        <v>981</v>
      </c>
      <c r="W459" s="4">
        <f t="shared" si="166"/>
        <v>43016</v>
      </c>
      <c r="X459" s="5">
        <f t="shared" si="167"/>
        <v>981</v>
      </c>
    </row>
    <row r="460" spans="3:24" x14ac:dyDescent="0.35">
      <c r="C460" s="2">
        <f t="shared" si="147"/>
        <v>459</v>
      </c>
      <c r="D460" t="s">
        <v>458</v>
      </c>
      <c r="E460">
        <f t="shared" si="148"/>
        <v>28</v>
      </c>
      <c r="F460" t="str">
        <f t="shared" si="149"/>
        <v xml:space="preserve">//PR:Games_____SP:Alice20171012 $2500  </v>
      </c>
      <c r="G460">
        <f t="shared" si="150"/>
        <v>32</v>
      </c>
      <c r="H460" t="str">
        <f t="shared" si="151"/>
        <v>//PR:Games_____SP:Alice20171012 $2500</v>
      </c>
      <c r="I460">
        <f t="shared" si="152"/>
        <v>48</v>
      </c>
      <c r="J460" t="str">
        <f t="shared" si="153"/>
        <v>PR:Games_____SP:Alice20171012 $2500</v>
      </c>
      <c r="K460" t="str">
        <f t="shared" si="154"/>
        <v>PR:Games     SP:Alice20171012 $2500</v>
      </c>
      <c r="L460" t="str">
        <f t="shared" si="155"/>
        <v>Games     SP:Alice20171012 $2500</v>
      </c>
      <c r="M460" t="str">
        <f t="shared" si="156"/>
        <v>Games     Alice20171012 $2500</v>
      </c>
      <c r="N460" t="str">
        <f t="shared" si="157"/>
        <v>Games Alice20171012 $2500</v>
      </c>
      <c r="O460" t="str">
        <f t="shared" si="158"/>
        <v>Games Alice 20171012 $2500</v>
      </c>
      <c r="P460">
        <f t="shared" si="159"/>
        <v>6</v>
      </c>
      <c r="Q460">
        <f t="shared" si="160"/>
        <v>12</v>
      </c>
      <c r="R460">
        <f t="shared" si="161"/>
        <v>21</v>
      </c>
      <c r="S460" t="str">
        <f t="shared" si="162"/>
        <v>Games</v>
      </c>
      <c r="T460" t="str">
        <f t="shared" si="163"/>
        <v>Alice</v>
      </c>
      <c r="U460" t="str">
        <f t="shared" si="164"/>
        <v>20171012</v>
      </c>
      <c r="V460" t="str">
        <f t="shared" si="165"/>
        <v>2500</v>
      </c>
      <c r="W460" s="4">
        <f t="shared" si="166"/>
        <v>43020</v>
      </c>
      <c r="X460" s="5">
        <f t="shared" si="167"/>
        <v>2500</v>
      </c>
    </row>
    <row r="461" spans="3:24" x14ac:dyDescent="0.35">
      <c r="C461" s="2">
        <f t="shared" si="147"/>
        <v>460</v>
      </c>
      <c r="D461" t="s">
        <v>459</v>
      </c>
      <c r="E461">
        <f t="shared" si="148"/>
        <v>29</v>
      </c>
      <c r="F461" t="str">
        <f t="shared" si="149"/>
        <v xml:space="preserve">///PR:Music__SP:Carol20171010     $951    </v>
      </c>
      <c r="G461">
        <f t="shared" si="150"/>
        <v>32</v>
      </c>
      <c r="H461" t="str">
        <f t="shared" si="151"/>
        <v>///PR:Music__SP:Carol20171010     $951</v>
      </c>
      <c r="I461">
        <f t="shared" si="152"/>
        <v>49</v>
      </c>
      <c r="J461" t="str">
        <f t="shared" si="153"/>
        <v>PR:Music__SP:Carol20171010     $951</v>
      </c>
      <c r="K461" t="str">
        <f t="shared" si="154"/>
        <v>PR:Music  SP:Carol20171010     $951</v>
      </c>
      <c r="L461" t="str">
        <f t="shared" si="155"/>
        <v>Music  SP:Carol20171010     $951</v>
      </c>
      <c r="M461" t="str">
        <f t="shared" si="156"/>
        <v>Music  Carol20171010     $951</v>
      </c>
      <c r="N461" t="str">
        <f t="shared" si="157"/>
        <v>Music Carol20171010 $951</v>
      </c>
      <c r="O461" t="str">
        <f t="shared" si="158"/>
        <v>Music Carol 20171010 $951</v>
      </c>
      <c r="P461">
        <f t="shared" si="159"/>
        <v>6</v>
      </c>
      <c r="Q461">
        <f t="shared" si="160"/>
        <v>12</v>
      </c>
      <c r="R461">
        <f t="shared" si="161"/>
        <v>21</v>
      </c>
      <c r="S461" t="str">
        <f t="shared" si="162"/>
        <v>Music</v>
      </c>
      <c r="T461" t="str">
        <f t="shared" si="163"/>
        <v>Carol</v>
      </c>
      <c r="U461" t="str">
        <f t="shared" si="164"/>
        <v>20171010</v>
      </c>
      <c r="V461" t="str">
        <f t="shared" si="165"/>
        <v>951</v>
      </c>
      <c r="W461" s="4">
        <f t="shared" si="166"/>
        <v>43018</v>
      </c>
      <c r="X461" s="5">
        <f t="shared" si="167"/>
        <v>951</v>
      </c>
    </row>
    <row r="462" spans="3:24" x14ac:dyDescent="0.35">
      <c r="C462" s="2">
        <f t="shared" si="147"/>
        <v>461</v>
      </c>
      <c r="D462" t="s">
        <v>460</v>
      </c>
      <c r="E462">
        <f t="shared" si="148"/>
        <v>29</v>
      </c>
      <c r="F462" t="str">
        <f t="shared" si="149"/>
        <v xml:space="preserve">//PR:Music____SP:David20171016 $1330 </v>
      </c>
      <c r="G462">
        <f t="shared" si="150"/>
        <v>32</v>
      </c>
      <c r="H462" t="str">
        <f t="shared" si="151"/>
        <v>//PR:Music____SP:David20171016 $1330</v>
      </c>
      <c r="I462">
        <f t="shared" si="152"/>
        <v>48</v>
      </c>
      <c r="J462" t="str">
        <f t="shared" si="153"/>
        <v>PR:Music____SP:David20171016 $1330</v>
      </c>
      <c r="K462" t="str">
        <f t="shared" si="154"/>
        <v>PR:Music    SP:David20171016 $1330</v>
      </c>
      <c r="L462" t="str">
        <f t="shared" si="155"/>
        <v>Music    SP:David20171016 $1330</v>
      </c>
      <c r="M462" t="str">
        <f t="shared" si="156"/>
        <v>Music    David20171016 $1330</v>
      </c>
      <c r="N462" t="str">
        <f t="shared" si="157"/>
        <v>Music David20171016 $1330</v>
      </c>
      <c r="O462" t="str">
        <f t="shared" si="158"/>
        <v>Music David 20171016 $1330</v>
      </c>
      <c r="P462">
        <f t="shared" si="159"/>
        <v>6</v>
      </c>
      <c r="Q462">
        <f t="shared" si="160"/>
        <v>12</v>
      </c>
      <c r="R462">
        <f t="shared" si="161"/>
        <v>21</v>
      </c>
      <c r="S462" t="str">
        <f t="shared" si="162"/>
        <v>Music</v>
      </c>
      <c r="T462" t="str">
        <f t="shared" si="163"/>
        <v>David</v>
      </c>
      <c r="U462" t="str">
        <f t="shared" si="164"/>
        <v>20171016</v>
      </c>
      <c r="V462" t="str">
        <f t="shared" si="165"/>
        <v>1330</v>
      </c>
      <c r="W462" s="4">
        <f t="shared" si="166"/>
        <v>43024</v>
      </c>
      <c r="X462" s="5">
        <f t="shared" si="167"/>
        <v>1330</v>
      </c>
    </row>
    <row r="463" spans="3:24" x14ac:dyDescent="0.35">
      <c r="C463" s="2">
        <f t="shared" si="147"/>
        <v>462</v>
      </c>
      <c r="D463" t="s">
        <v>461</v>
      </c>
      <c r="E463">
        <f t="shared" si="148"/>
        <v>29</v>
      </c>
      <c r="F463" t="str">
        <f t="shared" si="149"/>
        <v xml:space="preserve">//PR:Games_SP:Carol20171017     $2487    </v>
      </c>
      <c r="G463">
        <f t="shared" si="150"/>
        <v>32</v>
      </c>
      <c r="H463" t="str">
        <f t="shared" si="151"/>
        <v>//PR:Games_SP:Carol20171017     $2487</v>
      </c>
      <c r="I463">
        <f t="shared" si="152"/>
        <v>55</v>
      </c>
      <c r="J463" t="str">
        <f t="shared" si="153"/>
        <v>PR:Games_SP:Carol20171017     $2487</v>
      </c>
      <c r="K463" t="str">
        <f t="shared" si="154"/>
        <v>PR:Games SP:Carol20171017     $2487</v>
      </c>
      <c r="L463" t="str">
        <f t="shared" si="155"/>
        <v>Games SP:Carol20171017     $2487</v>
      </c>
      <c r="M463" t="str">
        <f t="shared" si="156"/>
        <v>Games Carol20171017     $2487</v>
      </c>
      <c r="N463" t="str">
        <f t="shared" si="157"/>
        <v>Games Carol20171017 $2487</v>
      </c>
      <c r="O463" t="str">
        <f t="shared" si="158"/>
        <v>Games Carol 20171017 $2487</v>
      </c>
      <c r="P463">
        <f t="shared" si="159"/>
        <v>6</v>
      </c>
      <c r="Q463">
        <f t="shared" si="160"/>
        <v>12</v>
      </c>
      <c r="R463">
        <f t="shared" si="161"/>
        <v>21</v>
      </c>
      <c r="S463" t="str">
        <f t="shared" si="162"/>
        <v>Games</v>
      </c>
      <c r="T463" t="str">
        <f t="shared" si="163"/>
        <v>Carol</v>
      </c>
      <c r="U463" t="str">
        <f t="shared" si="164"/>
        <v>20171017</v>
      </c>
      <c r="V463" t="str">
        <f t="shared" si="165"/>
        <v>2487</v>
      </c>
      <c r="W463" s="4">
        <f t="shared" si="166"/>
        <v>43025</v>
      </c>
      <c r="X463" s="5">
        <f t="shared" si="167"/>
        <v>2487</v>
      </c>
    </row>
    <row r="464" spans="3:24" x14ac:dyDescent="0.35">
      <c r="C464" s="2">
        <f t="shared" si="147"/>
        <v>463</v>
      </c>
      <c r="D464" t="s">
        <v>462</v>
      </c>
      <c r="E464">
        <f t="shared" si="148"/>
        <v>30</v>
      </c>
      <c r="F464" t="str">
        <f t="shared" si="149"/>
        <v xml:space="preserve">/PR:Music___SP:Carol20171029   $1464   </v>
      </c>
      <c r="G464">
        <f t="shared" si="150"/>
        <v>32</v>
      </c>
      <c r="H464" t="str">
        <f t="shared" si="151"/>
        <v>/PR:Music___SP:Carol20171029   $1464</v>
      </c>
      <c r="I464">
        <f t="shared" si="152"/>
        <v>52</v>
      </c>
      <c r="J464" t="str">
        <f t="shared" si="153"/>
        <v>PR:Music___SP:Carol20171029   $1464</v>
      </c>
      <c r="K464" t="str">
        <f t="shared" si="154"/>
        <v>PR:Music   SP:Carol20171029   $1464</v>
      </c>
      <c r="L464" t="str">
        <f t="shared" si="155"/>
        <v>Music   SP:Carol20171029   $1464</v>
      </c>
      <c r="M464" t="str">
        <f t="shared" si="156"/>
        <v>Music   Carol20171029   $1464</v>
      </c>
      <c r="N464" t="str">
        <f t="shared" si="157"/>
        <v>Music Carol20171029 $1464</v>
      </c>
      <c r="O464" t="str">
        <f t="shared" si="158"/>
        <v>Music Carol 20171029 $1464</v>
      </c>
      <c r="P464">
        <f t="shared" si="159"/>
        <v>6</v>
      </c>
      <c r="Q464">
        <f t="shared" si="160"/>
        <v>12</v>
      </c>
      <c r="R464">
        <f t="shared" si="161"/>
        <v>21</v>
      </c>
      <c r="S464" t="str">
        <f t="shared" si="162"/>
        <v>Music</v>
      </c>
      <c r="T464" t="str">
        <f t="shared" si="163"/>
        <v>Carol</v>
      </c>
      <c r="U464" t="str">
        <f t="shared" si="164"/>
        <v>20171029</v>
      </c>
      <c r="V464" t="str">
        <f t="shared" si="165"/>
        <v>1464</v>
      </c>
      <c r="W464" s="4">
        <f t="shared" si="166"/>
        <v>43037</v>
      </c>
      <c r="X464" s="5">
        <f t="shared" si="167"/>
        <v>1464</v>
      </c>
    </row>
    <row r="465" spans="3:24" x14ac:dyDescent="0.35">
      <c r="C465" s="2">
        <f t="shared" si="147"/>
        <v>464</v>
      </c>
      <c r="D465" t="s">
        <v>463</v>
      </c>
      <c r="E465">
        <f t="shared" si="148"/>
        <v>29</v>
      </c>
      <c r="F465" t="str">
        <f t="shared" si="149"/>
        <v xml:space="preserve">///PR:Books____SP:David2017101  $0   </v>
      </c>
      <c r="G465">
        <f t="shared" si="150"/>
        <v>32</v>
      </c>
      <c r="H465" t="str">
        <f t="shared" si="151"/>
        <v>///PR:Books____SP:David2017101  $0</v>
      </c>
      <c r="I465">
        <f t="shared" si="152"/>
        <v>48</v>
      </c>
      <c r="J465" t="str">
        <f t="shared" si="153"/>
        <v>PR:Books____SP:David2017101  $0</v>
      </c>
      <c r="K465" t="str">
        <f t="shared" si="154"/>
        <v>PR:Books    SP:David2017101  $0</v>
      </c>
      <c r="L465" t="str">
        <f t="shared" si="155"/>
        <v>Books    SP:David2017101  $0</v>
      </c>
      <c r="M465" t="str">
        <f t="shared" si="156"/>
        <v>Books    David2017101  $0</v>
      </c>
      <c r="N465" t="str">
        <f t="shared" si="157"/>
        <v>Books David2017101 $0</v>
      </c>
      <c r="O465" t="str">
        <f t="shared" si="158"/>
        <v>Books David 2017101 $0</v>
      </c>
      <c r="P465">
        <f t="shared" si="159"/>
        <v>6</v>
      </c>
      <c r="Q465">
        <f t="shared" si="160"/>
        <v>12</v>
      </c>
      <c r="R465">
        <f t="shared" si="161"/>
        <v>20</v>
      </c>
      <c r="S465" t="str">
        <f t="shared" si="162"/>
        <v>Books</v>
      </c>
      <c r="T465" t="str">
        <f t="shared" si="163"/>
        <v>David</v>
      </c>
      <c r="U465" t="str">
        <f t="shared" si="164"/>
        <v>2017101</v>
      </c>
      <c r="V465" t="str">
        <f t="shared" si="165"/>
        <v>0</v>
      </c>
      <c r="W465" s="4">
        <f t="shared" si="166"/>
        <v>43009</v>
      </c>
      <c r="X465" s="5">
        <f t="shared" si="167"/>
        <v>0</v>
      </c>
    </row>
    <row r="466" spans="3:24" x14ac:dyDescent="0.35">
      <c r="C466" s="2">
        <f t="shared" si="147"/>
        <v>465</v>
      </c>
      <c r="D466" t="s">
        <v>464</v>
      </c>
      <c r="E466">
        <f t="shared" si="148"/>
        <v>29</v>
      </c>
      <c r="F466" t="str">
        <f t="shared" si="149"/>
        <v xml:space="preserve">/PR:Games_____SP:Alice20171013 $1045 </v>
      </c>
      <c r="G466">
        <f t="shared" si="150"/>
        <v>32</v>
      </c>
      <c r="H466" t="str">
        <f t="shared" si="151"/>
        <v>/PR:Games_____SP:Alice20171013 $1045</v>
      </c>
      <c r="I466">
        <f t="shared" si="152"/>
        <v>53</v>
      </c>
      <c r="J466" t="str">
        <f t="shared" si="153"/>
        <v>PR:Games_____SP:Alice20171013 $1045</v>
      </c>
      <c r="K466" t="str">
        <f t="shared" si="154"/>
        <v>PR:Games     SP:Alice20171013 $1045</v>
      </c>
      <c r="L466" t="str">
        <f t="shared" si="155"/>
        <v>Games     SP:Alice20171013 $1045</v>
      </c>
      <c r="M466" t="str">
        <f t="shared" si="156"/>
        <v>Games     Alice20171013 $1045</v>
      </c>
      <c r="N466" t="str">
        <f t="shared" si="157"/>
        <v>Games Alice20171013 $1045</v>
      </c>
      <c r="O466" t="str">
        <f t="shared" si="158"/>
        <v>Games Alice 20171013 $1045</v>
      </c>
      <c r="P466">
        <f t="shared" si="159"/>
        <v>6</v>
      </c>
      <c r="Q466">
        <f t="shared" si="160"/>
        <v>12</v>
      </c>
      <c r="R466">
        <f t="shared" si="161"/>
        <v>21</v>
      </c>
      <c r="S466" t="str">
        <f t="shared" si="162"/>
        <v>Games</v>
      </c>
      <c r="T466" t="str">
        <f t="shared" si="163"/>
        <v>Alice</v>
      </c>
      <c r="U466" t="str">
        <f t="shared" si="164"/>
        <v>20171013</v>
      </c>
      <c r="V466" t="str">
        <f t="shared" si="165"/>
        <v>1045</v>
      </c>
      <c r="W466" s="4">
        <f t="shared" si="166"/>
        <v>43021</v>
      </c>
      <c r="X466" s="5">
        <f t="shared" si="167"/>
        <v>1045</v>
      </c>
    </row>
    <row r="467" spans="3:24" x14ac:dyDescent="0.35">
      <c r="C467" s="2">
        <f t="shared" si="147"/>
        <v>466</v>
      </c>
      <c r="D467" t="s">
        <v>465</v>
      </c>
      <c r="E467">
        <f t="shared" si="148"/>
        <v>30</v>
      </c>
      <c r="F467" t="str">
        <f t="shared" si="149"/>
        <v xml:space="preserve">////PR:Games_____SP:Alice20171015 $0   </v>
      </c>
      <c r="G467">
        <f t="shared" si="150"/>
        <v>32</v>
      </c>
      <c r="H467" t="str">
        <f t="shared" si="151"/>
        <v>////PR:Games_____SP:Alice20171015 $0</v>
      </c>
      <c r="I467">
        <f t="shared" si="152"/>
        <v>48</v>
      </c>
      <c r="J467" t="str">
        <f t="shared" si="153"/>
        <v>PR:Games_____SP:Alice20171015 $0</v>
      </c>
      <c r="K467" t="str">
        <f t="shared" si="154"/>
        <v>PR:Games     SP:Alice20171015 $0</v>
      </c>
      <c r="L467" t="str">
        <f t="shared" si="155"/>
        <v>Games     SP:Alice20171015 $0</v>
      </c>
      <c r="M467" t="str">
        <f t="shared" si="156"/>
        <v>Games     Alice20171015 $0</v>
      </c>
      <c r="N467" t="str">
        <f t="shared" si="157"/>
        <v>Games Alice20171015 $0</v>
      </c>
      <c r="O467" t="str">
        <f t="shared" si="158"/>
        <v>Games Alice 20171015 $0</v>
      </c>
      <c r="P467">
        <f t="shared" si="159"/>
        <v>6</v>
      </c>
      <c r="Q467">
        <f t="shared" si="160"/>
        <v>12</v>
      </c>
      <c r="R467">
        <f t="shared" si="161"/>
        <v>21</v>
      </c>
      <c r="S467" t="str">
        <f t="shared" si="162"/>
        <v>Games</v>
      </c>
      <c r="T467" t="str">
        <f t="shared" si="163"/>
        <v>Alice</v>
      </c>
      <c r="U467" t="str">
        <f t="shared" si="164"/>
        <v>20171015</v>
      </c>
      <c r="V467" t="str">
        <f t="shared" si="165"/>
        <v>0</v>
      </c>
      <c r="W467" s="4">
        <f t="shared" si="166"/>
        <v>43023</v>
      </c>
      <c r="X467" s="5">
        <f t="shared" si="167"/>
        <v>0</v>
      </c>
    </row>
    <row r="468" spans="3:24" x14ac:dyDescent="0.35">
      <c r="C468" s="2">
        <f t="shared" si="147"/>
        <v>467</v>
      </c>
      <c r="D468" t="s">
        <v>466</v>
      </c>
      <c r="E468">
        <f t="shared" si="148"/>
        <v>31</v>
      </c>
      <c r="F468" t="str">
        <f t="shared" si="149"/>
        <v xml:space="preserve">/////PR:Books___SP:Alice2017107 $0  </v>
      </c>
      <c r="G468">
        <f t="shared" si="150"/>
        <v>32</v>
      </c>
      <c r="H468" t="str">
        <f t="shared" si="151"/>
        <v>/////PR:Books___SP:Alice2017107 $0</v>
      </c>
      <c r="I468">
        <f t="shared" si="152"/>
        <v>48</v>
      </c>
      <c r="J468" t="str">
        <f t="shared" si="153"/>
        <v>PR:Books___SP:Alice2017107 $0</v>
      </c>
      <c r="K468" t="str">
        <f t="shared" si="154"/>
        <v>PR:Books   SP:Alice2017107 $0</v>
      </c>
      <c r="L468" t="str">
        <f t="shared" si="155"/>
        <v>Books   SP:Alice2017107 $0</v>
      </c>
      <c r="M468" t="str">
        <f t="shared" si="156"/>
        <v>Books   Alice2017107 $0</v>
      </c>
      <c r="N468" t="str">
        <f t="shared" si="157"/>
        <v>Books Alice2017107 $0</v>
      </c>
      <c r="O468" t="str">
        <f t="shared" si="158"/>
        <v>Books Alice 2017107 $0</v>
      </c>
      <c r="P468">
        <f t="shared" si="159"/>
        <v>6</v>
      </c>
      <c r="Q468">
        <f t="shared" si="160"/>
        <v>12</v>
      </c>
      <c r="R468">
        <f t="shared" si="161"/>
        <v>20</v>
      </c>
      <c r="S468" t="str">
        <f t="shared" si="162"/>
        <v>Books</v>
      </c>
      <c r="T468" t="str">
        <f t="shared" si="163"/>
        <v>Alice</v>
      </c>
      <c r="U468" t="str">
        <f t="shared" si="164"/>
        <v>2017107</v>
      </c>
      <c r="V468" t="str">
        <f t="shared" si="165"/>
        <v>0</v>
      </c>
      <c r="W468" s="4">
        <f t="shared" si="166"/>
        <v>43015</v>
      </c>
      <c r="X468" s="5">
        <f t="shared" si="167"/>
        <v>0</v>
      </c>
    </row>
    <row r="469" spans="3:24" x14ac:dyDescent="0.35">
      <c r="C469" s="2">
        <f t="shared" si="147"/>
        <v>468</v>
      </c>
      <c r="D469" t="s">
        <v>467</v>
      </c>
      <c r="E469">
        <f t="shared" si="148"/>
        <v>28</v>
      </c>
      <c r="F469" t="str">
        <f t="shared" si="149"/>
        <v xml:space="preserve">//PR:Clothing__SP:David20171022  $0   </v>
      </c>
      <c r="G469">
        <f t="shared" si="150"/>
        <v>32</v>
      </c>
      <c r="H469" t="str">
        <f t="shared" si="151"/>
        <v>//PR:Clothing__SP:David20171022  $0</v>
      </c>
      <c r="I469">
        <f t="shared" si="152"/>
        <v>48</v>
      </c>
      <c r="J469" t="str">
        <f t="shared" si="153"/>
        <v>PR:Clothing__SP:David20171022  $0</v>
      </c>
      <c r="K469" t="str">
        <f t="shared" si="154"/>
        <v>PR:Clothing  SP:David20171022  $0</v>
      </c>
      <c r="L469" t="str">
        <f t="shared" si="155"/>
        <v>Clothing  SP:David20171022  $0</v>
      </c>
      <c r="M469" t="str">
        <f t="shared" si="156"/>
        <v>Clothing  David20171022  $0</v>
      </c>
      <c r="N469" t="str">
        <f t="shared" si="157"/>
        <v>Clothing David20171022 $0</v>
      </c>
      <c r="O469" t="str">
        <f t="shared" si="158"/>
        <v>Clothing David 20171022 $0</v>
      </c>
      <c r="P469">
        <f t="shared" si="159"/>
        <v>9</v>
      </c>
      <c r="Q469">
        <f t="shared" si="160"/>
        <v>15</v>
      </c>
      <c r="R469">
        <f t="shared" si="161"/>
        <v>24</v>
      </c>
      <c r="S469" t="str">
        <f t="shared" si="162"/>
        <v>Clothing</v>
      </c>
      <c r="T469" t="str">
        <f t="shared" si="163"/>
        <v>David</v>
      </c>
      <c r="U469" t="str">
        <f t="shared" si="164"/>
        <v>20171022</v>
      </c>
      <c r="V469" t="str">
        <f t="shared" si="165"/>
        <v>0</v>
      </c>
      <c r="W469" s="4">
        <f t="shared" si="166"/>
        <v>43030</v>
      </c>
      <c r="X469" s="5">
        <f t="shared" si="167"/>
        <v>0</v>
      </c>
    </row>
    <row r="470" spans="3:24" x14ac:dyDescent="0.35">
      <c r="C470" s="2">
        <f t="shared" si="147"/>
        <v>469</v>
      </c>
      <c r="D470" t="s">
        <v>468</v>
      </c>
      <c r="E470">
        <f t="shared" si="148"/>
        <v>30</v>
      </c>
      <c r="F470" t="str">
        <f t="shared" si="149"/>
        <v xml:space="preserve">/PR:Games___SP:Alice2017102    $0     </v>
      </c>
      <c r="G470">
        <f t="shared" si="150"/>
        <v>32</v>
      </c>
      <c r="H470" t="str">
        <f t="shared" si="151"/>
        <v>/PR:Games___SP:Alice2017102    $0</v>
      </c>
      <c r="I470">
        <f t="shared" si="152"/>
        <v>48</v>
      </c>
      <c r="J470" t="str">
        <f t="shared" si="153"/>
        <v>PR:Games___SP:Alice2017102    $0</v>
      </c>
      <c r="K470" t="str">
        <f t="shared" si="154"/>
        <v>PR:Games   SP:Alice2017102    $0</v>
      </c>
      <c r="L470" t="str">
        <f t="shared" si="155"/>
        <v>Games   SP:Alice2017102    $0</v>
      </c>
      <c r="M470" t="str">
        <f t="shared" si="156"/>
        <v>Games   Alice2017102    $0</v>
      </c>
      <c r="N470" t="str">
        <f t="shared" si="157"/>
        <v>Games Alice2017102 $0</v>
      </c>
      <c r="O470" t="str">
        <f t="shared" si="158"/>
        <v>Games Alice 2017102 $0</v>
      </c>
      <c r="P470">
        <f t="shared" si="159"/>
        <v>6</v>
      </c>
      <c r="Q470">
        <f t="shared" si="160"/>
        <v>12</v>
      </c>
      <c r="R470">
        <f t="shared" si="161"/>
        <v>20</v>
      </c>
      <c r="S470" t="str">
        <f t="shared" si="162"/>
        <v>Games</v>
      </c>
      <c r="T470" t="str">
        <f t="shared" si="163"/>
        <v>Alice</v>
      </c>
      <c r="U470" t="str">
        <f t="shared" si="164"/>
        <v>2017102</v>
      </c>
      <c r="V470" t="str">
        <f t="shared" si="165"/>
        <v>0</v>
      </c>
      <c r="W470" s="4">
        <f t="shared" si="166"/>
        <v>43010</v>
      </c>
      <c r="X470" s="5">
        <f t="shared" si="167"/>
        <v>0</v>
      </c>
    </row>
    <row r="471" spans="3:24" x14ac:dyDescent="0.35">
      <c r="C471" s="2">
        <f t="shared" si="147"/>
        <v>470</v>
      </c>
      <c r="D471" t="s">
        <v>469</v>
      </c>
      <c r="E471">
        <f t="shared" si="148"/>
        <v>31</v>
      </c>
      <c r="F471" t="str">
        <f t="shared" si="149"/>
        <v xml:space="preserve">/PR:Clothing___SP:Alice20171028 $1021     </v>
      </c>
      <c r="G471">
        <f t="shared" si="150"/>
        <v>32</v>
      </c>
      <c r="H471" t="str">
        <f t="shared" si="151"/>
        <v>/PR:Clothing___SP:Alice20171028 $1021</v>
      </c>
      <c r="I471">
        <f t="shared" si="152"/>
        <v>49</v>
      </c>
      <c r="J471" t="str">
        <f t="shared" si="153"/>
        <v>PR:Clothing___SP:Alice20171028 $1021</v>
      </c>
      <c r="K471" t="str">
        <f t="shared" si="154"/>
        <v>PR:Clothing   SP:Alice20171028 $1021</v>
      </c>
      <c r="L471" t="str">
        <f t="shared" si="155"/>
        <v>Clothing   SP:Alice20171028 $1021</v>
      </c>
      <c r="M471" t="str">
        <f t="shared" si="156"/>
        <v>Clothing   Alice20171028 $1021</v>
      </c>
      <c r="N471" t="str">
        <f t="shared" si="157"/>
        <v>Clothing Alice20171028 $1021</v>
      </c>
      <c r="O471" t="str">
        <f t="shared" si="158"/>
        <v>Clothing Alice 20171028 $1021</v>
      </c>
      <c r="P471">
        <f t="shared" si="159"/>
        <v>9</v>
      </c>
      <c r="Q471">
        <f t="shared" si="160"/>
        <v>15</v>
      </c>
      <c r="R471">
        <f t="shared" si="161"/>
        <v>24</v>
      </c>
      <c r="S471" t="str">
        <f t="shared" si="162"/>
        <v>Clothing</v>
      </c>
      <c r="T471" t="str">
        <f t="shared" si="163"/>
        <v>Alice</v>
      </c>
      <c r="U471" t="str">
        <f t="shared" si="164"/>
        <v>20171028</v>
      </c>
      <c r="V471" t="str">
        <f t="shared" si="165"/>
        <v>1021</v>
      </c>
      <c r="W471" s="4">
        <f t="shared" si="166"/>
        <v>43036</v>
      </c>
      <c r="X471" s="5">
        <f t="shared" si="167"/>
        <v>1021</v>
      </c>
    </row>
    <row r="472" spans="3:24" x14ac:dyDescent="0.35">
      <c r="C472" s="2">
        <f t="shared" si="147"/>
        <v>471</v>
      </c>
      <c r="D472" t="s">
        <v>470</v>
      </c>
      <c r="E472">
        <f t="shared" si="148"/>
        <v>31</v>
      </c>
      <c r="F472" t="str">
        <f t="shared" si="149"/>
        <v xml:space="preserve">/PR:Games____SP:Alice20171028   $1887    </v>
      </c>
      <c r="G472">
        <f t="shared" si="150"/>
        <v>32</v>
      </c>
      <c r="H472" t="str">
        <f t="shared" si="151"/>
        <v>/PR:Games____SP:Alice20171028   $1887</v>
      </c>
      <c r="I472">
        <f t="shared" si="152"/>
        <v>55</v>
      </c>
      <c r="J472" t="str">
        <f t="shared" si="153"/>
        <v>PR:Games____SP:Alice20171028   $1887</v>
      </c>
      <c r="K472" t="str">
        <f t="shared" si="154"/>
        <v>PR:Games    SP:Alice20171028   $1887</v>
      </c>
      <c r="L472" t="str">
        <f t="shared" si="155"/>
        <v>Games    SP:Alice20171028   $1887</v>
      </c>
      <c r="M472" t="str">
        <f t="shared" si="156"/>
        <v>Games    Alice20171028   $1887</v>
      </c>
      <c r="N472" t="str">
        <f t="shared" si="157"/>
        <v>Games Alice20171028 $1887</v>
      </c>
      <c r="O472" t="str">
        <f t="shared" si="158"/>
        <v>Games Alice 20171028 $1887</v>
      </c>
      <c r="P472">
        <f t="shared" si="159"/>
        <v>6</v>
      </c>
      <c r="Q472">
        <f t="shared" si="160"/>
        <v>12</v>
      </c>
      <c r="R472">
        <f t="shared" si="161"/>
        <v>21</v>
      </c>
      <c r="S472" t="str">
        <f t="shared" si="162"/>
        <v>Games</v>
      </c>
      <c r="T472" t="str">
        <f t="shared" si="163"/>
        <v>Alice</v>
      </c>
      <c r="U472" t="str">
        <f t="shared" si="164"/>
        <v>20171028</v>
      </c>
      <c r="V472" t="str">
        <f t="shared" si="165"/>
        <v>1887</v>
      </c>
      <c r="W472" s="4">
        <f t="shared" si="166"/>
        <v>43036</v>
      </c>
      <c r="X472" s="5">
        <f t="shared" si="167"/>
        <v>1887</v>
      </c>
    </row>
    <row r="473" spans="3:24" x14ac:dyDescent="0.35">
      <c r="C473" s="2">
        <f t="shared" si="147"/>
        <v>472</v>
      </c>
      <c r="D473" t="s">
        <v>471</v>
      </c>
      <c r="E473">
        <f t="shared" si="148"/>
        <v>30</v>
      </c>
      <c r="F473" t="str">
        <f t="shared" si="149"/>
        <v xml:space="preserve">/PR:Games___SP:Barney20171012    $1700  </v>
      </c>
      <c r="G473">
        <f t="shared" si="150"/>
        <v>32</v>
      </c>
      <c r="H473" t="str">
        <f t="shared" si="151"/>
        <v>/PR:Games___SP:Barney20171012    $1700</v>
      </c>
      <c r="I473">
        <f t="shared" si="152"/>
        <v>48</v>
      </c>
      <c r="J473" t="str">
        <f t="shared" si="153"/>
        <v>PR:Games___SP:Barney20171012    $1700</v>
      </c>
      <c r="K473" t="str">
        <f t="shared" si="154"/>
        <v>PR:Games   SP:Barney20171012    $1700</v>
      </c>
      <c r="L473" t="str">
        <f t="shared" si="155"/>
        <v>Games   SP:Barney20171012    $1700</v>
      </c>
      <c r="M473" t="str">
        <f t="shared" si="156"/>
        <v>Games   Barney20171012    $1700</v>
      </c>
      <c r="N473" t="str">
        <f t="shared" si="157"/>
        <v>Games Barney20171012 $1700</v>
      </c>
      <c r="O473" t="str">
        <f t="shared" si="158"/>
        <v>Games Barney 20171012 $1700</v>
      </c>
      <c r="P473">
        <f t="shared" si="159"/>
        <v>6</v>
      </c>
      <c r="Q473">
        <f t="shared" si="160"/>
        <v>13</v>
      </c>
      <c r="R473">
        <f t="shared" si="161"/>
        <v>22</v>
      </c>
      <c r="S473" t="str">
        <f t="shared" si="162"/>
        <v>Games</v>
      </c>
      <c r="T473" t="str">
        <f t="shared" si="163"/>
        <v>Barney</v>
      </c>
      <c r="U473" t="str">
        <f t="shared" si="164"/>
        <v>20171012</v>
      </c>
      <c r="V473" t="str">
        <f t="shared" si="165"/>
        <v>1700</v>
      </c>
      <c r="W473" s="4">
        <f t="shared" si="166"/>
        <v>43020</v>
      </c>
      <c r="X473" s="5">
        <f t="shared" si="167"/>
        <v>1700</v>
      </c>
    </row>
    <row r="474" spans="3:24" x14ac:dyDescent="0.35">
      <c r="C474" s="2">
        <f t="shared" si="147"/>
        <v>473</v>
      </c>
      <c r="D474" t="s">
        <v>472</v>
      </c>
      <c r="E474">
        <f t="shared" si="148"/>
        <v>28</v>
      </c>
      <c r="F474" t="str">
        <f t="shared" si="149"/>
        <v xml:space="preserve">////PR:Music_____SP:Barney20171011     $1382    </v>
      </c>
      <c r="G474">
        <f t="shared" si="150"/>
        <v>32</v>
      </c>
      <c r="H474" t="str">
        <f t="shared" si="151"/>
        <v>////PR:Music_____SP:Barney20171011     $1382</v>
      </c>
      <c r="I474">
        <f t="shared" si="152"/>
        <v>50</v>
      </c>
      <c r="J474" t="str">
        <f t="shared" si="153"/>
        <v>PR:Music_____SP:Barney20171011     $1382</v>
      </c>
      <c r="K474" t="str">
        <f t="shared" si="154"/>
        <v>PR:Music     SP:Barney20171011     $1382</v>
      </c>
      <c r="L474" t="str">
        <f t="shared" si="155"/>
        <v>Music     SP:Barney20171011     $1382</v>
      </c>
      <c r="M474" t="str">
        <f t="shared" si="156"/>
        <v>Music     Barney20171011     $1382</v>
      </c>
      <c r="N474" t="str">
        <f t="shared" si="157"/>
        <v>Music Barney20171011 $1382</v>
      </c>
      <c r="O474" t="str">
        <f t="shared" si="158"/>
        <v>Music Barney 20171011 $1382</v>
      </c>
      <c r="P474">
        <f t="shared" si="159"/>
        <v>6</v>
      </c>
      <c r="Q474">
        <f t="shared" si="160"/>
        <v>13</v>
      </c>
      <c r="R474">
        <f t="shared" si="161"/>
        <v>22</v>
      </c>
      <c r="S474" t="str">
        <f t="shared" si="162"/>
        <v>Music</v>
      </c>
      <c r="T474" t="str">
        <f t="shared" si="163"/>
        <v>Barney</v>
      </c>
      <c r="U474" t="str">
        <f t="shared" si="164"/>
        <v>20171011</v>
      </c>
      <c r="V474" t="str">
        <f t="shared" si="165"/>
        <v>1382</v>
      </c>
      <c r="W474" s="4">
        <f t="shared" si="166"/>
        <v>43019</v>
      </c>
      <c r="X474" s="5">
        <f t="shared" si="167"/>
        <v>1382</v>
      </c>
    </row>
    <row r="475" spans="3:24" x14ac:dyDescent="0.35">
      <c r="C475" s="2">
        <f t="shared" si="147"/>
        <v>474</v>
      </c>
      <c r="D475" t="s">
        <v>473</v>
      </c>
      <c r="E475">
        <f t="shared" si="148"/>
        <v>30</v>
      </c>
      <c r="F475" t="str">
        <f t="shared" si="149"/>
        <v xml:space="preserve">/////PR:Books_SP:Barney20171021  $808    </v>
      </c>
      <c r="G475">
        <f t="shared" si="150"/>
        <v>32</v>
      </c>
      <c r="H475" t="str">
        <f t="shared" si="151"/>
        <v>/////PR:Books_SP:Barney20171021  $808</v>
      </c>
      <c r="I475">
        <f t="shared" si="152"/>
        <v>56</v>
      </c>
      <c r="J475" t="str">
        <f t="shared" si="153"/>
        <v>PR:Books_SP:Barney20171021  $808</v>
      </c>
      <c r="K475" t="str">
        <f t="shared" si="154"/>
        <v>PR:Books SP:Barney20171021  $808</v>
      </c>
      <c r="L475" t="str">
        <f t="shared" si="155"/>
        <v>Books SP:Barney20171021  $808</v>
      </c>
      <c r="M475" t="str">
        <f t="shared" si="156"/>
        <v>Books Barney20171021  $808</v>
      </c>
      <c r="N475" t="str">
        <f t="shared" si="157"/>
        <v>Books Barney20171021 $808</v>
      </c>
      <c r="O475" t="str">
        <f t="shared" si="158"/>
        <v>Books Barney 20171021 $808</v>
      </c>
      <c r="P475">
        <f t="shared" si="159"/>
        <v>6</v>
      </c>
      <c r="Q475">
        <f t="shared" si="160"/>
        <v>13</v>
      </c>
      <c r="R475">
        <f t="shared" si="161"/>
        <v>22</v>
      </c>
      <c r="S475" t="str">
        <f t="shared" si="162"/>
        <v>Books</v>
      </c>
      <c r="T475" t="str">
        <f t="shared" si="163"/>
        <v>Barney</v>
      </c>
      <c r="U475" t="str">
        <f t="shared" si="164"/>
        <v>20171021</v>
      </c>
      <c r="V475" t="str">
        <f t="shared" si="165"/>
        <v>808</v>
      </c>
      <c r="W475" s="4">
        <f t="shared" si="166"/>
        <v>43029</v>
      </c>
      <c r="X475" s="5">
        <f t="shared" si="167"/>
        <v>808</v>
      </c>
    </row>
    <row r="476" spans="3:24" x14ac:dyDescent="0.35">
      <c r="C476" s="2">
        <f t="shared" si="147"/>
        <v>475</v>
      </c>
      <c r="D476" t="s">
        <v>474</v>
      </c>
      <c r="E476">
        <f t="shared" si="148"/>
        <v>31</v>
      </c>
      <c r="F476" t="str">
        <f t="shared" si="149"/>
        <v xml:space="preserve">///PR:Music____SP:David20171019     $0     </v>
      </c>
      <c r="G476">
        <f t="shared" si="150"/>
        <v>32</v>
      </c>
      <c r="H476" t="str">
        <f t="shared" si="151"/>
        <v>///PR:Music____SP:David20171019     $0</v>
      </c>
      <c r="I476">
        <f t="shared" si="152"/>
        <v>48</v>
      </c>
      <c r="J476" t="str">
        <f t="shared" si="153"/>
        <v>PR:Music____SP:David20171019     $0</v>
      </c>
      <c r="K476" t="str">
        <f t="shared" si="154"/>
        <v>PR:Music    SP:David20171019     $0</v>
      </c>
      <c r="L476" t="str">
        <f t="shared" si="155"/>
        <v>Music    SP:David20171019     $0</v>
      </c>
      <c r="M476" t="str">
        <f t="shared" si="156"/>
        <v>Music    David20171019     $0</v>
      </c>
      <c r="N476" t="str">
        <f t="shared" si="157"/>
        <v>Music David20171019 $0</v>
      </c>
      <c r="O476" t="str">
        <f t="shared" si="158"/>
        <v>Music David 20171019 $0</v>
      </c>
      <c r="P476">
        <f t="shared" si="159"/>
        <v>6</v>
      </c>
      <c r="Q476">
        <f t="shared" si="160"/>
        <v>12</v>
      </c>
      <c r="R476">
        <f t="shared" si="161"/>
        <v>21</v>
      </c>
      <c r="S476" t="str">
        <f t="shared" si="162"/>
        <v>Music</v>
      </c>
      <c r="T476" t="str">
        <f t="shared" si="163"/>
        <v>David</v>
      </c>
      <c r="U476" t="str">
        <f t="shared" si="164"/>
        <v>20171019</v>
      </c>
      <c r="V476" t="str">
        <f t="shared" si="165"/>
        <v>0</v>
      </c>
      <c r="W476" s="4">
        <f t="shared" si="166"/>
        <v>43027</v>
      </c>
      <c r="X476" s="5">
        <f t="shared" si="167"/>
        <v>0</v>
      </c>
    </row>
    <row r="477" spans="3:24" x14ac:dyDescent="0.35">
      <c r="C477" s="2">
        <f t="shared" si="147"/>
        <v>476</v>
      </c>
      <c r="D477" t="s">
        <v>475</v>
      </c>
      <c r="E477">
        <f t="shared" si="148"/>
        <v>29</v>
      </c>
      <c r="F477" t="str">
        <f t="shared" si="149"/>
        <v xml:space="preserve">//PR:Music_SP:Carol20171025 $1496  </v>
      </c>
      <c r="G477">
        <f t="shared" si="150"/>
        <v>32</v>
      </c>
      <c r="H477" t="str">
        <f t="shared" si="151"/>
        <v>//PR:Music_SP:Carol20171025 $1496</v>
      </c>
      <c r="I477">
        <f t="shared" si="152"/>
        <v>54</v>
      </c>
      <c r="J477" t="str">
        <f t="shared" si="153"/>
        <v>PR:Music_SP:Carol20171025 $1496</v>
      </c>
      <c r="K477" t="str">
        <f t="shared" si="154"/>
        <v>PR:Music SP:Carol20171025 $1496</v>
      </c>
      <c r="L477" t="str">
        <f t="shared" si="155"/>
        <v>Music SP:Carol20171025 $1496</v>
      </c>
      <c r="M477" t="str">
        <f t="shared" si="156"/>
        <v>Music Carol20171025 $1496</v>
      </c>
      <c r="N477" t="str">
        <f t="shared" si="157"/>
        <v>Music Carol20171025 $1496</v>
      </c>
      <c r="O477" t="str">
        <f t="shared" si="158"/>
        <v>Music Carol 20171025 $1496</v>
      </c>
      <c r="P477">
        <f t="shared" si="159"/>
        <v>6</v>
      </c>
      <c r="Q477">
        <f t="shared" si="160"/>
        <v>12</v>
      </c>
      <c r="R477">
        <f t="shared" si="161"/>
        <v>21</v>
      </c>
      <c r="S477" t="str">
        <f t="shared" si="162"/>
        <v>Music</v>
      </c>
      <c r="T477" t="str">
        <f t="shared" si="163"/>
        <v>Carol</v>
      </c>
      <c r="U477" t="str">
        <f t="shared" si="164"/>
        <v>20171025</v>
      </c>
      <c r="V477" t="str">
        <f t="shared" si="165"/>
        <v>1496</v>
      </c>
      <c r="W477" s="4">
        <f t="shared" si="166"/>
        <v>43033</v>
      </c>
      <c r="X477" s="5">
        <f t="shared" si="167"/>
        <v>1496</v>
      </c>
    </row>
    <row r="478" spans="3:24" x14ac:dyDescent="0.35">
      <c r="C478" s="2">
        <f t="shared" si="147"/>
        <v>477</v>
      </c>
      <c r="D478" t="s">
        <v>476</v>
      </c>
      <c r="E478">
        <f t="shared" si="148"/>
        <v>30</v>
      </c>
      <c r="F478" t="str">
        <f t="shared" si="149"/>
        <v xml:space="preserve">/PR:Clothing___SP:Alice20171011 $1375   </v>
      </c>
      <c r="G478">
        <f t="shared" si="150"/>
        <v>32</v>
      </c>
      <c r="H478" t="str">
        <f t="shared" si="151"/>
        <v>/PR:Clothing___SP:Alice20171011 $1375</v>
      </c>
      <c r="I478">
        <f t="shared" si="152"/>
        <v>53</v>
      </c>
      <c r="J478" t="str">
        <f t="shared" si="153"/>
        <v>PR:Clothing___SP:Alice20171011 $1375</v>
      </c>
      <c r="K478" t="str">
        <f t="shared" si="154"/>
        <v>PR:Clothing   SP:Alice20171011 $1375</v>
      </c>
      <c r="L478" t="str">
        <f t="shared" si="155"/>
        <v>Clothing   SP:Alice20171011 $1375</v>
      </c>
      <c r="M478" t="str">
        <f t="shared" si="156"/>
        <v>Clothing   Alice20171011 $1375</v>
      </c>
      <c r="N478" t="str">
        <f t="shared" si="157"/>
        <v>Clothing Alice20171011 $1375</v>
      </c>
      <c r="O478" t="str">
        <f t="shared" si="158"/>
        <v>Clothing Alice 20171011 $1375</v>
      </c>
      <c r="P478">
        <f t="shared" si="159"/>
        <v>9</v>
      </c>
      <c r="Q478">
        <f t="shared" si="160"/>
        <v>15</v>
      </c>
      <c r="R478">
        <f t="shared" si="161"/>
        <v>24</v>
      </c>
      <c r="S478" t="str">
        <f t="shared" si="162"/>
        <v>Clothing</v>
      </c>
      <c r="T478" t="str">
        <f t="shared" si="163"/>
        <v>Alice</v>
      </c>
      <c r="U478" t="str">
        <f t="shared" si="164"/>
        <v>20171011</v>
      </c>
      <c r="V478" t="str">
        <f t="shared" si="165"/>
        <v>1375</v>
      </c>
      <c r="W478" s="4">
        <f t="shared" si="166"/>
        <v>43019</v>
      </c>
      <c r="X478" s="5">
        <f t="shared" si="167"/>
        <v>1375</v>
      </c>
    </row>
    <row r="479" spans="3:24" x14ac:dyDescent="0.35">
      <c r="C479" s="2">
        <f t="shared" si="147"/>
        <v>478</v>
      </c>
      <c r="D479" t="s">
        <v>477</v>
      </c>
      <c r="E479">
        <f t="shared" si="148"/>
        <v>28</v>
      </c>
      <c r="F479" t="str">
        <f t="shared" si="149"/>
        <v xml:space="preserve">/////PR:Books_SP:Alice2017106   $750   </v>
      </c>
      <c r="G479">
        <f t="shared" si="150"/>
        <v>32</v>
      </c>
      <c r="H479" t="str">
        <f t="shared" si="151"/>
        <v>/////PR:Books_SP:Alice2017106   $750</v>
      </c>
      <c r="I479">
        <f t="shared" si="152"/>
        <v>48</v>
      </c>
      <c r="J479" t="str">
        <f t="shared" si="153"/>
        <v>PR:Books_SP:Alice2017106   $750</v>
      </c>
      <c r="K479" t="str">
        <f t="shared" si="154"/>
        <v>PR:Books SP:Alice2017106   $750</v>
      </c>
      <c r="L479" t="str">
        <f t="shared" si="155"/>
        <v>Books SP:Alice2017106   $750</v>
      </c>
      <c r="M479" t="str">
        <f>SUBSTITUTE(L479,"SP:","")</f>
        <v>Books Alice2017106   $750</v>
      </c>
      <c r="N479" t="str">
        <f t="shared" si="157"/>
        <v>Books Alice2017106 $750</v>
      </c>
      <c r="O479" t="str">
        <f t="shared" si="158"/>
        <v>Books Alice 2017106 $750</v>
      </c>
      <c r="P479">
        <f t="shared" si="159"/>
        <v>6</v>
      </c>
      <c r="Q479">
        <f t="shared" si="160"/>
        <v>12</v>
      </c>
      <c r="R479">
        <f t="shared" si="161"/>
        <v>20</v>
      </c>
      <c r="S479" t="str">
        <f t="shared" si="162"/>
        <v>Books</v>
      </c>
      <c r="T479" t="str">
        <f t="shared" si="163"/>
        <v>Alice</v>
      </c>
      <c r="U479" t="str">
        <f t="shared" si="164"/>
        <v>2017106</v>
      </c>
      <c r="V479" t="str">
        <f t="shared" si="165"/>
        <v>750</v>
      </c>
      <c r="W479" s="4">
        <f t="shared" si="166"/>
        <v>43014</v>
      </c>
      <c r="X479" s="5">
        <f t="shared" si="167"/>
        <v>750</v>
      </c>
    </row>
    <row r="480" spans="3:24" x14ac:dyDescent="0.35">
      <c r="C480" s="2">
        <f t="shared" si="147"/>
        <v>479</v>
      </c>
      <c r="D480" t="s">
        <v>478</v>
      </c>
      <c r="E480">
        <f t="shared" si="148"/>
        <v>28</v>
      </c>
      <c r="F480" t="str">
        <f t="shared" si="149"/>
        <v xml:space="preserve">/////PR:Books_____SP:David2017102     $890 </v>
      </c>
      <c r="G480">
        <f t="shared" si="150"/>
        <v>32</v>
      </c>
      <c r="H480" t="str">
        <f t="shared" si="151"/>
        <v>/////PR:Books_____SP:David2017102     $890</v>
      </c>
      <c r="I480">
        <f t="shared" si="152"/>
        <v>48</v>
      </c>
      <c r="J480" t="str">
        <f t="shared" si="153"/>
        <v>PR:Books_____SP:David2017102     $890</v>
      </c>
      <c r="K480" t="str">
        <f t="shared" si="154"/>
        <v>PR:Books     SP:David2017102     $890</v>
      </c>
      <c r="L480" t="str">
        <f t="shared" si="155"/>
        <v>Books     SP:David2017102     $890</v>
      </c>
      <c r="M480" t="str">
        <f t="shared" si="156"/>
        <v>Books     David2017102     $890</v>
      </c>
      <c r="N480" t="str">
        <f t="shared" si="157"/>
        <v>Books David2017102 $890</v>
      </c>
      <c r="O480" t="str">
        <f t="shared" si="158"/>
        <v>Books David 2017102 $890</v>
      </c>
      <c r="P480">
        <f t="shared" si="159"/>
        <v>6</v>
      </c>
      <c r="Q480">
        <f t="shared" si="160"/>
        <v>12</v>
      </c>
      <c r="R480">
        <f t="shared" si="161"/>
        <v>20</v>
      </c>
      <c r="S480" t="str">
        <f t="shared" si="162"/>
        <v>Books</v>
      </c>
      <c r="T480" t="str">
        <f t="shared" si="163"/>
        <v>David</v>
      </c>
      <c r="U480" t="str">
        <f t="shared" si="164"/>
        <v>2017102</v>
      </c>
      <c r="V480" t="str">
        <f t="shared" si="165"/>
        <v>890</v>
      </c>
      <c r="W480" s="4">
        <f t="shared" si="166"/>
        <v>43010</v>
      </c>
      <c r="X480" s="5">
        <f t="shared" si="167"/>
        <v>890</v>
      </c>
    </row>
    <row r="481" spans="3:24" x14ac:dyDescent="0.35">
      <c r="C481" s="2">
        <f t="shared" si="147"/>
        <v>480</v>
      </c>
      <c r="D481" t="s">
        <v>479</v>
      </c>
      <c r="E481">
        <f t="shared" si="148"/>
        <v>28</v>
      </c>
      <c r="F481" t="str">
        <f t="shared" si="149"/>
        <v xml:space="preserve">/PR:Music_SP:David2017109 $1345 </v>
      </c>
      <c r="G481">
        <f t="shared" si="150"/>
        <v>32</v>
      </c>
      <c r="H481" t="str">
        <f t="shared" si="151"/>
        <v>/PR:Music_SP:David2017109 $1345</v>
      </c>
      <c r="I481">
        <f t="shared" si="152"/>
        <v>53</v>
      </c>
      <c r="J481" t="str">
        <f t="shared" si="153"/>
        <v>PR:Music_SP:David2017109 $1345</v>
      </c>
      <c r="K481" t="str">
        <f t="shared" si="154"/>
        <v>PR:Music SP:David2017109 $1345</v>
      </c>
      <c r="L481" t="str">
        <f t="shared" si="155"/>
        <v>Music SP:David2017109 $1345</v>
      </c>
      <c r="M481" t="str">
        <f t="shared" si="156"/>
        <v>Music David2017109 $1345</v>
      </c>
      <c r="N481" t="str">
        <f t="shared" si="157"/>
        <v>Music David2017109 $1345</v>
      </c>
      <c r="O481" t="str">
        <f t="shared" si="158"/>
        <v>Music David 2017109 $1345</v>
      </c>
      <c r="P481">
        <f t="shared" si="159"/>
        <v>6</v>
      </c>
      <c r="Q481">
        <f t="shared" si="160"/>
        <v>12</v>
      </c>
      <c r="R481">
        <f t="shared" si="161"/>
        <v>20</v>
      </c>
      <c r="S481" t="str">
        <f t="shared" si="162"/>
        <v>Music</v>
      </c>
      <c r="T481" t="str">
        <f t="shared" si="163"/>
        <v>David</v>
      </c>
      <c r="U481" t="str">
        <f t="shared" si="164"/>
        <v>2017109</v>
      </c>
      <c r="V481" t="str">
        <f t="shared" si="165"/>
        <v>1345</v>
      </c>
      <c r="W481" s="4">
        <f t="shared" si="166"/>
        <v>43017</v>
      </c>
      <c r="X481" s="5">
        <f t="shared" si="167"/>
        <v>1345</v>
      </c>
    </row>
    <row r="482" spans="3:24" x14ac:dyDescent="0.35">
      <c r="C482" s="2">
        <f t="shared" si="147"/>
        <v>481</v>
      </c>
      <c r="D482" t="s">
        <v>480</v>
      </c>
      <c r="E482">
        <f t="shared" si="148"/>
        <v>29</v>
      </c>
      <c r="F482" t="str">
        <f t="shared" si="149"/>
        <v xml:space="preserve">////PR:Music___SP:Alice20171024   $0    </v>
      </c>
      <c r="G482">
        <f t="shared" si="150"/>
        <v>32</v>
      </c>
      <c r="H482" t="str">
        <f t="shared" si="151"/>
        <v>////PR:Music___SP:Alice20171024   $0</v>
      </c>
      <c r="I482">
        <f t="shared" si="152"/>
        <v>48</v>
      </c>
      <c r="J482" t="str">
        <f t="shared" si="153"/>
        <v>PR:Music___SP:Alice20171024   $0</v>
      </c>
      <c r="K482" t="str">
        <f t="shared" si="154"/>
        <v>PR:Music   SP:Alice20171024   $0</v>
      </c>
      <c r="L482" t="str">
        <f t="shared" si="155"/>
        <v>Music   SP:Alice20171024   $0</v>
      </c>
      <c r="M482" t="str">
        <f t="shared" si="156"/>
        <v>Music   Alice20171024   $0</v>
      </c>
      <c r="N482" t="str">
        <f t="shared" si="157"/>
        <v>Music Alice20171024 $0</v>
      </c>
      <c r="O482" t="str">
        <f t="shared" si="158"/>
        <v>Music Alice 20171024 $0</v>
      </c>
      <c r="P482">
        <f t="shared" si="159"/>
        <v>6</v>
      </c>
      <c r="Q482">
        <f t="shared" si="160"/>
        <v>12</v>
      </c>
      <c r="R482">
        <f t="shared" si="161"/>
        <v>21</v>
      </c>
      <c r="S482" t="str">
        <f t="shared" si="162"/>
        <v>Music</v>
      </c>
      <c r="T482" t="str">
        <f t="shared" si="163"/>
        <v>Alice</v>
      </c>
      <c r="U482" t="str">
        <f t="shared" si="164"/>
        <v>20171024</v>
      </c>
      <c r="V482" t="str">
        <f t="shared" si="165"/>
        <v>0</v>
      </c>
      <c r="W482" s="4">
        <f t="shared" si="166"/>
        <v>43032</v>
      </c>
      <c r="X482" s="5">
        <f t="shared" si="167"/>
        <v>0</v>
      </c>
    </row>
    <row r="483" spans="3:24" x14ac:dyDescent="0.35">
      <c r="C483" s="2">
        <f t="shared" si="147"/>
        <v>482</v>
      </c>
      <c r="D483" t="s">
        <v>481</v>
      </c>
      <c r="E483">
        <f t="shared" si="148"/>
        <v>29</v>
      </c>
      <c r="F483" t="str">
        <f t="shared" si="149"/>
        <v xml:space="preserve">/PR:Clothing__SP:David20171030 $660 </v>
      </c>
      <c r="G483">
        <f t="shared" si="150"/>
        <v>32</v>
      </c>
      <c r="H483" t="str">
        <f t="shared" si="151"/>
        <v>/PR:Clothing__SP:David20171030 $660</v>
      </c>
      <c r="I483">
        <f t="shared" si="152"/>
        <v>48</v>
      </c>
      <c r="J483" t="str">
        <f t="shared" si="153"/>
        <v>PR:Clothing__SP:David20171030 $660</v>
      </c>
      <c r="K483" t="str">
        <f t="shared" si="154"/>
        <v>PR:Clothing  SP:David20171030 $660</v>
      </c>
      <c r="L483" t="str">
        <f t="shared" si="155"/>
        <v>Clothing  SP:David20171030 $660</v>
      </c>
      <c r="M483" t="str">
        <f t="shared" si="156"/>
        <v>Clothing  David20171030 $660</v>
      </c>
      <c r="N483" t="str">
        <f t="shared" si="157"/>
        <v>Clothing David20171030 $660</v>
      </c>
      <c r="O483" t="str">
        <f t="shared" si="158"/>
        <v>Clothing David 20171030 $660</v>
      </c>
      <c r="P483">
        <f t="shared" si="159"/>
        <v>9</v>
      </c>
      <c r="Q483">
        <f t="shared" si="160"/>
        <v>15</v>
      </c>
      <c r="R483">
        <f t="shared" si="161"/>
        <v>24</v>
      </c>
      <c r="S483" t="str">
        <f t="shared" si="162"/>
        <v>Clothing</v>
      </c>
      <c r="T483" t="str">
        <f t="shared" si="163"/>
        <v>David</v>
      </c>
      <c r="U483" t="str">
        <f t="shared" si="164"/>
        <v>20171030</v>
      </c>
      <c r="V483" t="str">
        <f t="shared" si="165"/>
        <v>660</v>
      </c>
      <c r="W483" s="4">
        <f t="shared" si="166"/>
        <v>43038</v>
      </c>
      <c r="X483" s="5">
        <f t="shared" si="167"/>
        <v>660</v>
      </c>
    </row>
    <row r="484" spans="3:24" x14ac:dyDescent="0.35">
      <c r="C484" s="2">
        <f t="shared" si="147"/>
        <v>483</v>
      </c>
      <c r="D484" t="s">
        <v>482</v>
      </c>
      <c r="E484">
        <f t="shared" si="148"/>
        <v>31</v>
      </c>
      <c r="F484" t="str">
        <f t="shared" si="149"/>
        <v xml:space="preserve">////PR:Clothing___SP:Barney20171021 $0    </v>
      </c>
      <c r="G484">
        <f t="shared" si="150"/>
        <v>32</v>
      </c>
      <c r="H484" t="str">
        <f t="shared" si="151"/>
        <v>////PR:Clothing___SP:Barney20171021 $0</v>
      </c>
      <c r="I484">
        <f t="shared" si="152"/>
        <v>48</v>
      </c>
      <c r="J484" t="str">
        <f t="shared" si="153"/>
        <v>PR:Clothing___SP:Barney20171021 $0</v>
      </c>
      <c r="K484" t="str">
        <f t="shared" si="154"/>
        <v>PR:Clothing   SP:Barney20171021 $0</v>
      </c>
      <c r="L484" t="str">
        <f t="shared" si="155"/>
        <v>Clothing   SP:Barney20171021 $0</v>
      </c>
      <c r="M484" t="str">
        <f t="shared" si="156"/>
        <v>Clothing   Barney20171021 $0</v>
      </c>
      <c r="N484" t="str">
        <f t="shared" si="157"/>
        <v>Clothing Barney20171021 $0</v>
      </c>
      <c r="O484" t="str">
        <f t="shared" si="158"/>
        <v>Clothing Barney 20171021 $0</v>
      </c>
      <c r="P484">
        <f t="shared" si="159"/>
        <v>9</v>
      </c>
      <c r="Q484">
        <f t="shared" si="160"/>
        <v>16</v>
      </c>
      <c r="R484">
        <f t="shared" si="161"/>
        <v>25</v>
      </c>
      <c r="S484" t="str">
        <f t="shared" si="162"/>
        <v>Clothing</v>
      </c>
      <c r="T484" t="str">
        <f t="shared" si="163"/>
        <v>Barney</v>
      </c>
      <c r="U484" t="str">
        <f t="shared" si="164"/>
        <v>20171021</v>
      </c>
      <c r="V484" t="str">
        <f t="shared" si="165"/>
        <v>0</v>
      </c>
      <c r="W484" s="4">
        <f t="shared" si="166"/>
        <v>43029</v>
      </c>
      <c r="X484" s="5">
        <f t="shared" si="167"/>
        <v>0</v>
      </c>
    </row>
    <row r="485" spans="3:24" x14ac:dyDescent="0.35">
      <c r="C485" s="2">
        <f t="shared" si="147"/>
        <v>484</v>
      </c>
      <c r="D485" t="s">
        <v>483</v>
      </c>
      <c r="E485">
        <f t="shared" si="148"/>
        <v>30</v>
      </c>
      <c r="F485" t="str">
        <f t="shared" si="149"/>
        <v xml:space="preserve">//PR:Games_____SP:Barney20171020   $2380     </v>
      </c>
      <c r="G485">
        <f t="shared" si="150"/>
        <v>32</v>
      </c>
      <c r="H485" t="str">
        <f t="shared" si="151"/>
        <v>//PR:Games_____SP:Barney20171020   $2380</v>
      </c>
      <c r="I485">
        <f t="shared" si="152"/>
        <v>48</v>
      </c>
      <c r="J485" t="str">
        <f t="shared" si="153"/>
        <v>PR:Games_____SP:Barney20171020   $2380</v>
      </c>
      <c r="K485" t="str">
        <f t="shared" si="154"/>
        <v>PR:Games     SP:Barney20171020   $2380</v>
      </c>
      <c r="L485" t="str">
        <f t="shared" si="155"/>
        <v>Games     SP:Barney20171020   $2380</v>
      </c>
      <c r="M485" t="str">
        <f t="shared" si="156"/>
        <v>Games     Barney20171020   $2380</v>
      </c>
      <c r="N485" t="str">
        <f t="shared" si="157"/>
        <v>Games Barney20171020 $2380</v>
      </c>
      <c r="O485" t="str">
        <f t="shared" si="158"/>
        <v>Games Barney 20171020 $2380</v>
      </c>
      <c r="P485">
        <f t="shared" si="159"/>
        <v>6</v>
      </c>
      <c r="Q485">
        <f t="shared" si="160"/>
        <v>13</v>
      </c>
      <c r="R485">
        <f t="shared" si="161"/>
        <v>22</v>
      </c>
      <c r="S485" t="str">
        <f t="shared" si="162"/>
        <v>Games</v>
      </c>
      <c r="T485" t="str">
        <f t="shared" si="163"/>
        <v>Barney</v>
      </c>
      <c r="U485" t="str">
        <f t="shared" si="164"/>
        <v>20171020</v>
      </c>
      <c r="V485" t="str">
        <f t="shared" si="165"/>
        <v>2380</v>
      </c>
      <c r="W485" s="4">
        <f t="shared" si="166"/>
        <v>43028</v>
      </c>
      <c r="X485" s="5">
        <f t="shared" si="167"/>
        <v>2380</v>
      </c>
    </row>
    <row r="486" spans="3:24" x14ac:dyDescent="0.35">
      <c r="C486" s="2">
        <f t="shared" si="147"/>
        <v>485</v>
      </c>
      <c r="D486" t="s">
        <v>484</v>
      </c>
      <c r="E486">
        <f t="shared" si="148"/>
        <v>28</v>
      </c>
      <c r="F486" t="str">
        <f t="shared" si="149"/>
        <v xml:space="preserve">/////PR:Books____SP:Carol20171025  $515   </v>
      </c>
      <c r="G486">
        <f t="shared" si="150"/>
        <v>32</v>
      </c>
      <c r="H486" t="str">
        <f t="shared" si="151"/>
        <v>/////PR:Books____SP:Carol20171025  $515</v>
      </c>
      <c r="I486">
        <f t="shared" si="152"/>
        <v>53</v>
      </c>
      <c r="J486" t="str">
        <f t="shared" si="153"/>
        <v>PR:Books____SP:Carol20171025  $515</v>
      </c>
      <c r="K486" t="str">
        <f t="shared" si="154"/>
        <v>PR:Books    SP:Carol20171025  $515</v>
      </c>
      <c r="L486" t="str">
        <f t="shared" si="155"/>
        <v>Books    SP:Carol20171025  $515</v>
      </c>
      <c r="M486" t="str">
        <f t="shared" si="156"/>
        <v>Books    Carol20171025  $515</v>
      </c>
      <c r="N486" t="str">
        <f t="shared" si="157"/>
        <v>Books Carol20171025 $515</v>
      </c>
      <c r="O486" t="str">
        <f t="shared" si="158"/>
        <v>Books Carol 20171025 $515</v>
      </c>
      <c r="P486">
        <f t="shared" si="159"/>
        <v>6</v>
      </c>
      <c r="Q486">
        <f t="shared" si="160"/>
        <v>12</v>
      </c>
      <c r="R486">
        <f t="shared" si="161"/>
        <v>21</v>
      </c>
      <c r="S486" t="str">
        <f t="shared" si="162"/>
        <v>Books</v>
      </c>
      <c r="T486" t="str">
        <f t="shared" si="163"/>
        <v>Carol</v>
      </c>
      <c r="U486" t="str">
        <f t="shared" si="164"/>
        <v>20171025</v>
      </c>
      <c r="V486" t="str">
        <f t="shared" si="165"/>
        <v>515</v>
      </c>
      <c r="W486" s="4">
        <f t="shared" si="166"/>
        <v>43033</v>
      </c>
      <c r="X486" s="5">
        <f t="shared" si="167"/>
        <v>515</v>
      </c>
    </row>
    <row r="487" spans="3:24" x14ac:dyDescent="0.35">
      <c r="C487" s="2">
        <f t="shared" si="147"/>
        <v>486</v>
      </c>
      <c r="D487" t="s">
        <v>485</v>
      </c>
      <c r="E487">
        <f t="shared" si="148"/>
        <v>28</v>
      </c>
      <c r="F487" t="str">
        <f t="shared" si="149"/>
        <v xml:space="preserve">////PR:Clothing__SP:Alice20171017    $650 </v>
      </c>
      <c r="G487">
        <f t="shared" si="150"/>
        <v>32</v>
      </c>
      <c r="H487" t="str">
        <f t="shared" si="151"/>
        <v>////PR:Clothing__SP:Alice20171017    $650</v>
      </c>
      <c r="I487">
        <f t="shared" si="152"/>
        <v>48</v>
      </c>
      <c r="J487" t="str">
        <f t="shared" si="153"/>
        <v>PR:Clothing__SP:Alice20171017    $650</v>
      </c>
      <c r="K487" t="str">
        <f t="shared" si="154"/>
        <v>PR:Clothing  SP:Alice20171017    $650</v>
      </c>
      <c r="L487" t="str">
        <f t="shared" si="155"/>
        <v>Clothing  SP:Alice20171017    $650</v>
      </c>
      <c r="M487" t="str">
        <f t="shared" si="156"/>
        <v>Clothing  Alice20171017    $650</v>
      </c>
      <c r="N487" t="str">
        <f t="shared" si="157"/>
        <v>Clothing Alice20171017 $650</v>
      </c>
      <c r="O487" t="str">
        <f t="shared" si="158"/>
        <v>Clothing Alice 20171017 $650</v>
      </c>
      <c r="P487">
        <f t="shared" si="159"/>
        <v>9</v>
      </c>
      <c r="Q487">
        <f t="shared" si="160"/>
        <v>15</v>
      </c>
      <c r="R487">
        <f t="shared" si="161"/>
        <v>24</v>
      </c>
      <c r="S487" t="str">
        <f t="shared" si="162"/>
        <v>Clothing</v>
      </c>
      <c r="T487" t="str">
        <f t="shared" si="163"/>
        <v>Alice</v>
      </c>
      <c r="U487" t="str">
        <f t="shared" si="164"/>
        <v>20171017</v>
      </c>
      <c r="V487" t="str">
        <f t="shared" si="165"/>
        <v>650</v>
      </c>
      <c r="W487" s="4">
        <f t="shared" si="166"/>
        <v>43025</v>
      </c>
      <c r="X487" s="5">
        <f t="shared" si="167"/>
        <v>650</v>
      </c>
    </row>
    <row r="488" spans="3:24" x14ac:dyDescent="0.35">
      <c r="C488" s="2">
        <f t="shared" si="147"/>
        <v>487</v>
      </c>
      <c r="D488" t="s">
        <v>486</v>
      </c>
      <c r="E488">
        <f t="shared" si="148"/>
        <v>29</v>
      </c>
      <c r="F488" t="str">
        <f t="shared" si="149"/>
        <v xml:space="preserve">////PR:Books_SP:Barney2017109 $0   </v>
      </c>
      <c r="G488">
        <f t="shared" si="150"/>
        <v>32</v>
      </c>
      <c r="H488" t="str">
        <f t="shared" si="151"/>
        <v>////PR:Books_SP:Barney2017109 $0</v>
      </c>
      <c r="I488">
        <f t="shared" si="152"/>
        <v>48</v>
      </c>
      <c r="J488" t="str">
        <f t="shared" si="153"/>
        <v>PR:Books_SP:Barney2017109 $0</v>
      </c>
      <c r="K488" t="str">
        <f t="shared" si="154"/>
        <v>PR:Books SP:Barney2017109 $0</v>
      </c>
      <c r="L488" t="str">
        <f t="shared" si="155"/>
        <v>Books SP:Barney2017109 $0</v>
      </c>
      <c r="M488" t="str">
        <f t="shared" si="156"/>
        <v>Books Barney2017109 $0</v>
      </c>
      <c r="N488" t="str">
        <f t="shared" si="157"/>
        <v>Books Barney2017109 $0</v>
      </c>
      <c r="O488" t="str">
        <f t="shared" si="158"/>
        <v>Books Barney 2017109 $0</v>
      </c>
      <c r="P488">
        <f t="shared" si="159"/>
        <v>6</v>
      </c>
      <c r="Q488">
        <f t="shared" si="160"/>
        <v>13</v>
      </c>
      <c r="R488">
        <f t="shared" si="161"/>
        <v>21</v>
      </c>
      <c r="S488" t="str">
        <f t="shared" si="162"/>
        <v>Books</v>
      </c>
      <c r="T488" t="str">
        <f t="shared" si="163"/>
        <v>Barney</v>
      </c>
      <c r="U488" t="str">
        <f t="shared" si="164"/>
        <v>2017109</v>
      </c>
      <c r="V488" t="str">
        <f t="shared" si="165"/>
        <v>0</v>
      </c>
      <c r="W488" s="4">
        <f t="shared" si="166"/>
        <v>43017</v>
      </c>
      <c r="X488" s="5">
        <f t="shared" si="167"/>
        <v>0</v>
      </c>
    </row>
    <row r="489" spans="3:24" x14ac:dyDescent="0.35">
      <c r="C489" s="2">
        <f t="shared" si="147"/>
        <v>488</v>
      </c>
      <c r="D489" t="s">
        <v>487</v>
      </c>
      <c r="E489">
        <f t="shared" si="148"/>
        <v>29</v>
      </c>
      <c r="F489" t="str">
        <f t="shared" si="149"/>
        <v xml:space="preserve">///PR:Clothing__SP:Barney2017102  $1988    </v>
      </c>
      <c r="G489">
        <f t="shared" si="150"/>
        <v>32</v>
      </c>
      <c r="H489" t="str">
        <f t="shared" si="151"/>
        <v>///PR:Clothing__SP:Barney2017102  $1988</v>
      </c>
      <c r="I489">
        <f t="shared" si="152"/>
        <v>56</v>
      </c>
      <c r="J489" t="str">
        <f t="shared" si="153"/>
        <v>PR:Clothing__SP:Barney2017102  $1988</v>
      </c>
      <c r="K489" t="str">
        <f t="shared" si="154"/>
        <v>PR:Clothing  SP:Barney2017102  $1988</v>
      </c>
      <c r="L489" t="str">
        <f t="shared" si="155"/>
        <v>Clothing  SP:Barney2017102  $1988</v>
      </c>
      <c r="M489" t="str">
        <f t="shared" si="156"/>
        <v>Clothing  Barney2017102  $1988</v>
      </c>
      <c r="N489" t="str">
        <f t="shared" si="157"/>
        <v>Clothing Barney2017102 $1988</v>
      </c>
      <c r="O489" t="str">
        <f t="shared" si="158"/>
        <v>Clothing Barney 2017102 $1988</v>
      </c>
      <c r="P489">
        <f t="shared" si="159"/>
        <v>9</v>
      </c>
      <c r="Q489">
        <f t="shared" si="160"/>
        <v>16</v>
      </c>
      <c r="R489">
        <f t="shared" si="161"/>
        <v>24</v>
      </c>
      <c r="S489" t="str">
        <f t="shared" si="162"/>
        <v>Clothing</v>
      </c>
      <c r="T489" t="str">
        <f t="shared" si="163"/>
        <v>Barney</v>
      </c>
      <c r="U489" t="str">
        <f t="shared" si="164"/>
        <v>2017102</v>
      </c>
      <c r="V489" t="str">
        <f t="shared" si="165"/>
        <v>1988</v>
      </c>
      <c r="W489" s="4">
        <f t="shared" si="166"/>
        <v>43010</v>
      </c>
      <c r="X489" s="5">
        <f t="shared" si="167"/>
        <v>1988</v>
      </c>
    </row>
    <row r="490" spans="3:24" x14ac:dyDescent="0.35">
      <c r="C490" s="2">
        <f t="shared" si="147"/>
        <v>489</v>
      </c>
      <c r="D490" t="s">
        <v>488</v>
      </c>
      <c r="E490">
        <f t="shared" si="148"/>
        <v>29</v>
      </c>
      <c r="F490" t="str">
        <f t="shared" si="149"/>
        <v xml:space="preserve">/////PR:Music__SP:Carol20171020    $0     </v>
      </c>
      <c r="G490">
        <f t="shared" si="150"/>
        <v>32</v>
      </c>
      <c r="H490" t="str">
        <f t="shared" si="151"/>
        <v>/////PR:Music__SP:Carol20171020    $0</v>
      </c>
      <c r="I490">
        <f t="shared" si="152"/>
        <v>48</v>
      </c>
      <c r="J490" t="str">
        <f t="shared" si="153"/>
        <v>PR:Music__SP:Carol20171020    $0</v>
      </c>
      <c r="K490" t="str">
        <f t="shared" si="154"/>
        <v>PR:Music  SP:Carol20171020    $0</v>
      </c>
      <c r="L490" t="str">
        <f t="shared" si="155"/>
        <v>Music  SP:Carol20171020    $0</v>
      </c>
      <c r="M490" t="str">
        <f t="shared" si="156"/>
        <v>Music  Carol20171020    $0</v>
      </c>
      <c r="N490" t="str">
        <f t="shared" si="157"/>
        <v>Music Carol20171020 $0</v>
      </c>
      <c r="O490" t="str">
        <f t="shared" si="158"/>
        <v>Music Carol 20171020 $0</v>
      </c>
      <c r="P490">
        <f t="shared" si="159"/>
        <v>6</v>
      </c>
      <c r="Q490">
        <f t="shared" si="160"/>
        <v>12</v>
      </c>
      <c r="R490">
        <f t="shared" si="161"/>
        <v>21</v>
      </c>
      <c r="S490" t="str">
        <f t="shared" si="162"/>
        <v>Music</v>
      </c>
      <c r="T490" t="str">
        <f t="shared" si="163"/>
        <v>Carol</v>
      </c>
      <c r="U490" t="str">
        <f t="shared" si="164"/>
        <v>20171020</v>
      </c>
      <c r="V490" t="str">
        <f t="shared" si="165"/>
        <v>0</v>
      </c>
      <c r="W490" s="4">
        <f t="shared" si="166"/>
        <v>43028</v>
      </c>
      <c r="X490" s="5">
        <f t="shared" si="167"/>
        <v>0</v>
      </c>
    </row>
    <row r="491" spans="3:24" x14ac:dyDescent="0.35">
      <c r="C491" s="2">
        <f t="shared" si="147"/>
        <v>490</v>
      </c>
      <c r="D491" t="s">
        <v>489</v>
      </c>
      <c r="E491">
        <f t="shared" si="148"/>
        <v>31</v>
      </c>
      <c r="F491" t="str">
        <f t="shared" si="149"/>
        <v xml:space="preserve">////PR:Books___SP:David2017108     $501     </v>
      </c>
      <c r="G491">
        <f t="shared" si="150"/>
        <v>32</v>
      </c>
      <c r="H491" t="str">
        <f t="shared" si="151"/>
        <v>////PR:Books___SP:David2017108     $501</v>
      </c>
      <c r="I491">
        <f t="shared" si="152"/>
        <v>49</v>
      </c>
      <c r="J491" t="str">
        <f t="shared" si="153"/>
        <v>PR:Books___SP:David2017108     $501</v>
      </c>
      <c r="K491" t="str">
        <f t="shared" si="154"/>
        <v>PR:Books   SP:David2017108     $501</v>
      </c>
      <c r="L491" t="str">
        <f t="shared" si="155"/>
        <v>Books   SP:David2017108     $501</v>
      </c>
      <c r="M491" t="str">
        <f t="shared" si="156"/>
        <v>Books   David2017108     $501</v>
      </c>
      <c r="N491" t="str">
        <f t="shared" si="157"/>
        <v>Books David2017108 $501</v>
      </c>
      <c r="O491" t="str">
        <f t="shared" si="158"/>
        <v>Books David 2017108 $501</v>
      </c>
      <c r="P491">
        <f t="shared" si="159"/>
        <v>6</v>
      </c>
      <c r="Q491">
        <f t="shared" si="160"/>
        <v>12</v>
      </c>
      <c r="R491">
        <f t="shared" si="161"/>
        <v>20</v>
      </c>
      <c r="S491" t="str">
        <f t="shared" si="162"/>
        <v>Books</v>
      </c>
      <c r="T491" t="str">
        <f t="shared" si="163"/>
        <v>David</v>
      </c>
      <c r="U491" t="str">
        <f t="shared" si="164"/>
        <v>2017108</v>
      </c>
      <c r="V491" t="str">
        <f t="shared" si="165"/>
        <v>501</v>
      </c>
      <c r="W491" s="4">
        <f t="shared" si="166"/>
        <v>43016</v>
      </c>
      <c r="X491" s="5">
        <f t="shared" si="167"/>
        <v>501</v>
      </c>
    </row>
    <row r="492" spans="3:24" x14ac:dyDescent="0.35">
      <c r="C492" s="2">
        <f t="shared" si="147"/>
        <v>491</v>
      </c>
      <c r="D492" t="s">
        <v>490</v>
      </c>
      <c r="E492">
        <f t="shared" si="148"/>
        <v>29</v>
      </c>
      <c r="F492" t="str">
        <f t="shared" si="149"/>
        <v xml:space="preserve">//PR:Clothing_____SP:Alice2017108  $859     </v>
      </c>
      <c r="G492">
        <f t="shared" si="150"/>
        <v>32</v>
      </c>
      <c r="H492" t="str">
        <f t="shared" si="151"/>
        <v>//PR:Clothing_____SP:Alice2017108  $859</v>
      </c>
      <c r="I492">
        <f t="shared" si="152"/>
        <v>57</v>
      </c>
      <c r="J492" t="str">
        <f t="shared" si="153"/>
        <v>PR:Clothing_____SP:Alice2017108  $859</v>
      </c>
      <c r="K492" t="str">
        <f t="shared" si="154"/>
        <v>PR:Clothing     SP:Alice2017108  $859</v>
      </c>
      <c r="L492" t="str">
        <f t="shared" si="155"/>
        <v>Clothing     SP:Alice2017108  $859</v>
      </c>
      <c r="M492" t="str">
        <f t="shared" si="156"/>
        <v>Clothing     Alice2017108  $859</v>
      </c>
      <c r="N492" t="str">
        <f t="shared" si="157"/>
        <v>Clothing Alice2017108 $859</v>
      </c>
      <c r="O492" t="str">
        <f t="shared" si="158"/>
        <v>Clothing Alice 2017108 $859</v>
      </c>
      <c r="P492">
        <f t="shared" si="159"/>
        <v>9</v>
      </c>
      <c r="Q492">
        <f t="shared" si="160"/>
        <v>15</v>
      </c>
      <c r="R492">
        <f t="shared" si="161"/>
        <v>23</v>
      </c>
      <c r="S492" t="str">
        <f t="shared" si="162"/>
        <v>Clothing</v>
      </c>
      <c r="T492" t="str">
        <f t="shared" si="163"/>
        <v>Alice</v>
      </c>
      <c r="U492" t="str">
        <f t="shared" si="164"/>
        <v>2017108</v>
      </c>
      <c r="V492" t="str">
        <f t="shared" si="165"/>
        <v>859</v>
      </c>
      <c r="W492" s="4">
        <f t="shared" si="166"/>
        <v>43016</v>
      </c>
      <c r="X492" s="5">
        <f t="shared" si="167"/>
        <v>859</v>
      </c>
    </row>
    <row r="493" spans="3:24" x14ac:dyDescent="0.35">
      <c r="C493" s="2">
        <f t="shared" si="147"/>
        <v>492</v>
      </c>
      <c r="D493" t="s">
        <v>491</v>
      </c>
      <c r="E493">
        <f t="shared" si="148"/>
        <v>29</v>
      </c>
      <c r="F493" t="str">
        <f t="shared" si="149"/>
        <v xml:space="preserve">////PR:Clothing__SP:Barney20171014 $0   </v>
      </c>
      <c r="G493">
        <f t="shared" si="150"/>
        <v>32</v>
      </c>
      <c r="H493" t="str">
        <f t="shared" si="151"/>
        <v>////PR:Clothing__SP:Barney20171014 $0</v>
      </c>
      <c r="I493">
        <f t="shared" si="152"/>
        <v>48</v>
      </c>
      <c r="J493" t="str">
        <f t="shared" si="153"/>
        <v>PR:Clothing__SP:Barney20171014 $0</v>
      </c>
      <c r="K493" t="str">
        <f t="shared" si="154"/>
        <v>PR:Clothing  SP:Barney20171014 $0</v>
      </c>
      <c r="L493" t="str">
        <f t="shared" si="155"/>
        <v>Clothing  SP:Barney20171014 $0</v>
      </c>
      <c r="M493" t="str">
        <f t="shared" si="156"/>
        <v>Clothing  Barney20171014 $0</v>
      </c>
      <c r="N493" t="str">
        <f t="shared" si="157"/>
        <v>Clothing Barney20171014 $0</v>
      </c>
      <c r="O493" t="str">
        <f t="shared" si="158"/>
        <v>Clothing Barney 20171014 $0</v>
      </c>
      <c r="P493">
        <f t="shared" si="159"/>
        <v>9</v>
      </c>
      <c r="Q493">
        <f t="shared" si="160"/>
        <v>16</v>
      </c>
      <c r="R493">
        <f t="shared" si="161"/>
        <v>25</v>
      </c>
      <c r="S493" t="str">
        <f t="shared" si="162"/>
        <v>Clothing</v>
      </c>
      <c r="T493" t="str">
        <f t="shared" si="163"/>
        <v>Barney</v>
      </c>
      <c r="U493" t="str">
        <f t="shared" si="164"/>
        <v>20171014</v>
      </c>
      <c r="V493" t="str">
        <f t="shared" si="165"/>
        <v>0</v>
      </c>
      <c r="W493" s="4">
        <f t="shared" si="166"/>
        <v>43022</v>
      </c>
      <c r="X493" s="5">
        <f t="shared" si="167"/>
        <v>0</v>
      </c>
    </row>
    <row r="494" spans="3:24" x14ac:dyDescent="0.35">
      <c r="C494" s="2">
        <f t="shared" si="147"/>
        <v>493</v>
      </c>
      <c r="D494" t="s">
        <v>492</v>
      </c>
      <c r="E494">
        <f t="shared" si="148"/>
        <v>30</v>
      </c>
      <c r="F494" t="str">
        <f t="shared" si="149"/>
        <v xml:space="preserve">////PR:Books___SP:Barney20171024  $743  </v>
      </c>
      <c r="G494">
        <f t="shared" si="150"/>
        <v>32</v>
      </c>
      <c r="H494" t="str">
        <f t="shared" si="151"/>
        <v>////PR:Books___SP:Barney20171024  $743</v>
      </c>
      <c r="I494">
        <f t="shared" si="152"/>
        <v>51</v>
      </c>
      <c r="J494" t="str">
        <f t="shared" si="153"/>
        <v>PR:Books___SP:Barney20171024  $743</v>
      </c>
      <c r="K494" t="str">
        <f t="shared" si="154"/>
        <v>PR:Books   SP:Barney20171024  $743</v>
      </c>
      <c r="L494" t="str">
        <f t="shared" si="155"/>
        <v>Books   SP:Barney20171024  $743</v>
      </c>
      <c r="M494" t="str">
        <f t="shared" si="156"/>
        <v>Books   Barney20171024  $743</v>
      </c>
      <c r="N494" t="str">
        <f t="shared" si="157"/>
        <v>Books Barney20171024 $743</v>
      </c>
      <c r="O494" t="str">
        <f t="shared" si="158"/>
        <v>Books Barney 20171024 $743</v>
      </c>
      <c r="P494">
        <f t="shared" si="159"/>
        <v>6</v>
      </c>
      <c r="Q494">
        <f t="shared" si="160"/>
        <v>13</v>
      </c>
      <c r="R494">
        <f t="shared" si="161"/>
        <v>22</v>
      </c>
      <c r="S494" t="str">
        <f t="shared" si="162"/>
        <v>Books</v>
      </c>
      <c r="T494" t="str">
        <f t="shared" si="163"/>
        <v>Barney</v>
      </c>
      <c r="U494" t="str">
        <f t="shared" si="164"/>
        <v>20171024</v>
      </c>
      <c r="V494" t="str">
        <f t="shared" si="165"/>
        <v>743</v>
      </c>
      <c r="W494" s="4">
        <f t="shared" si="166"/>
        <v>43032</v>
      </c>
      <c r="X494" s="5">
        <f t="shared" si="167"/>
        <v>743</v>
      </c>
    </row>
    <row r="495" spans="3:24" x14ac:dyDescent="0.35">
      <c r="C495" s="2">
        <f t="shared" si="147"/>
        <v>494</v>
      </c>
      <c r="D495" t="s">
        <v>493</v>
      </c>
      <c r="E495">
        <f t="shared" si="148"/>
        <v>30</v>
      </c>
      <c r="F495" t="str">
        <f t="shared" si="149"/>
        <v xml:space="preserve">/////PR:Books_____SP:Alice20171027    $0  </v>
      </c>
      <c r="G495">
        <f t="shared" si="150"/>
        <v>32</v>
      </c>
      <c r="H495" t="str">
        <f t="shared" si="151"/>
        <v>/////PR:Books_____SP:Alice20171027    $0</v>
      </c>
      <c r="I495">
        <f t="shared" si="152"/>
        <v>48</v>
      </c>
      <c r="J495" t="str">
        <f t="shared" si="153"/>
        <v>PR:Books_____SP:Alice20171027    $0</v>
      </c>
      <c r="K495" t="str">
        <f t="shared" si="154"/>
        <v>PR:Books     SP:Alice20171027    $0</v>
      </c>
      <c r="L495" t="str">
        <f t="shared" si="155"/>
        <v>Books     SP:Alice20171027    $0</v>
      </c>
      <c r="M495" t="str">
        <f t="shared" si="156"/>
        <v>Books     Alice20171027    $0</v>
      </c>
      <c r="N495" t="str">
        <f t="shared" si="157"/>
        <v>Books Alice20171027 $0</v>
      </c>
      <c r="O495" t="str">
        <f t="shared" si="158"/>
        <v>Books Alice 20171027 $0</v>
      </c>
      <c r="P495">
        <f t="shared" si="159"/>
        <v>6</v>
      </c>
      <c r="Q495">
        <f t="shared" si="160"/>
        <v>12</v>
      </c>
      <c r="R495">
        <f t="shared" si="161"/>
        <v>21</v>
      </c>
      <c r="S495" t="str">
        <f t="shared" si="162"/>
        <v>Books</v>
      </c>
      <c r="T495" t="str">
        <f t="shared" si="163"/>
        <v>Alice</v>
      </c>
      <c r="U495" t="str">
        <f t="shared" si="164"/>
        <v>20171027</v>
      </c>
      <c r="V495" t="str">
        <f t="shared" si="165"/>
        <v>0</v>
      </c>
      <c r="W495" s="4">
        <f t="shared" si="166"/>
        <v>43035</v>
      </c>
      <c r="X495" s="5">
        <f t="shared" si="167"/>
        <v>0</v>
      </c>
    </row>
    <row r="496" spans="3:24" x14ac:dyDescent="0.35">
      <c r="C496" s="2">
        <f t="shared" si="147"/>
        <v>495</v>
      </c>
      <c r="D496" t="s">
        <v>494</v>
      </c>
      <c r="E496">
        <f t="shared" si="148"/>
        <v>30</v>
      </c>
      <c r="F496" t="str">
        <f t="shared" si="149"/>
        <v xml:space="preserve">/////PR:Books_____SP:Barney20171020 $0 </v>
      </c>
      <c r="G496">
        <f t="shared" si="150"/>
        <v>32</v>
      </c>
      <c r="H496" t="str">
        <f t="shared" si="151"/>
        <v>/////PR:Books_____SP:Barney20171020 $0</v>
      </c>
      <c r="I496">
        <f t="shared" si="152"/>
        <v>48</v>
      </c>
      <c r="J496" t="str">
        <f t="shared" si="153"/>
        <v>PR:Books_____SP:Barney20171020 $0</v>
      </c>
      <c r="K496" t="str">
        <f t="shared" si="154"/>
        <v>PR:Books     SP:Barney20171020 $0</v>
      </c>
      <c r="L496" t="str">
        <f t="shared" si="155"/>
        <v>Books     SP:Barney20171020 $0</v>
      </c>
      <c r="M496" t="str">
        <f t="shared" si="156"/>
        <v>Books     Barney20171020 $0</v>
      </c>
      <c r="N496" t="str">
        <f t="shared" si="157"/>
        <v>Books Barney20171020 $0</v>
      </c>
      <c r="O496" t="str">
        <f t="shared" si="158"/>
        <v>Books Barney 20171020 $0</v>
      </c>
      <c r="P496">
        <f t="shared" si="159"/>
        <v>6</v>
      </c>
      <c r="Q496">
        <f t="shared" si="160"/>
        <v>13</v>
      </c>
      <c r="R496">
        <f t="shared" si="161"/>
        <v>22</v>
      </c>
      <c r="S496" t="str">
        <f t="shared" si="162"/>
        <v>Books</v>
      </c>
      <c r="T496" t="str">
        <f t="shared" si="163"/>
        <v>Barney</v>
      </c>
      <c r="U496" t="str">
        <f t="shared" si="164"/>
        <v>20171020</v>
      </c>
      <c r="V496" t="str">
        <f t="shared" si="165"/>
        <v>0</v>
      </c>
      <c r="W496" s="4">
        <f t="shared" si="166"/>
        <v>43028</v>
      </c>
      <c r="X496" s="5">
        <f t="shared" si="167"/>
        <v>0</v>
      </c>
    </row>
    <row r="497" spans="3:24" x14ac:dyDescent="0.35">
      <c r="C497" s="2">
        <f t="shared" si="147"/>
        <v>496</v>
      </c>
      <c r="D497" t="s">
        <v>495</v>
      </c>
      <c r="E497">
        <f t="shared" si="148"/>
        <v>28</v>
      </c>
      <c r="F497" t="str">
        <f t="shared" si="149"/>
        <v xml:space="preserve">/PR:Music__SP:Alice2017106 $1010 </v>
      </c>
      <c r="G497">
        <f t="shared" si="150"/>
        <v>32</v>
      </c>
      <c r="H497" t="str">
        <f t="shared" si="151"/>
        <v>/PR:Music__SP:Alice2017106 $1010</v>
      </c>
      <c r="I497">
        <f t="shared" si="152"/>
        <v>48</v>
      </c>
      <c r="J497" t="str">
        <f t="shared" si="153"/>
        <v>PR:Music__SP:Alice2017106 $1010</v>
      </c>
      <c r="K497" t="str">
        <f t="shared" si="154"/>
        <v>PR:Music  SP:Alice2017106 $1010</v>
      </c>
      <c r="L497" t="str">
        <f t="shared" si="155"/>
        <v>Music  SP:Alice2017106 $1010</v>
      </c>
      <c r="M497" t="str">
        <f t="shared" si="156"/>
        <v>Music  Alice2017106 $1010</v>
      </c>
      <c r="N497" t="str">
        <f t="shared" si="157"/>
        <v>Music Alice2017106 $1010</v>
      </c>
      <c r="O497" t="str">
        <f t="shared" si="158"/>
        <v>Music Alice 2017106 $1010</v>
      </c>
      <c r="P497">
        <f t="shared" si="159"/>
        <v>6</v>
      </c>
      <c r="Q497">
        <f t="shared" si="160"/>
        <v>12</v>
      </c>
      <c r="R497">
        <f t="shared" si="161"/>
        <v>20</v>
      </c>
      <c r="S497" t="str">
        <f t="shared" si="162"/>
        <v>Music</v>
      </c>
      <c r="T497" t="str">
        <f t="shared" si="163"/>
        <v>Alice</v>
      </c>
      <c r="U497" t="str">
        <f t="shared" si="164"/>
        <v>2017106</v>
      </c>
      <c r="V497" t="str">
        <f t="shared" si="165"/>
        <v>1010</v>
      </c>
      <c r="W497" s="4">
        <f t="shared" si="166"/>
        <v>43014</v>
      </c>
      <c r="X497" s="5">
        <f t="shared" si="167"/>
        <v>1010</v>
      </c>
    </row>
    <row r="498" spans="3:24" x14ac:dyDescent="0.35">
      <c r="C498" s="2"/>
    </row>
    <row r="499" spans="3:24" x14ac:dyDescent="0.35">
      <c r="C499" s="2"/>
    </row>
    <row r="500" spans="3:24" x14ac:dyDescent="0.35">
      <c r="C500" s="2"/>
    </row>
    <row r="501" spans="3:24" x14ac:dyDescent="0.35">
      <c r="C501" s="2"/>
    </row>
  </sheetData>
  <pageMargins left="0.7" right="0.7" top="0.75" bottom="0.75" header="0.3" footer="0.3"/>
  <ignoredErrors>
    <ignoredError sqref="F478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CBD7-1A04-459E-AE18-D001D8AA3F0B}">
  <dimension ref="A1:E497"/>
  <sheetViews>
    <sheetView workbookViewId="0">
      <selection activeCell="I10" sqref="I10"/>
    </sheetView>
  </sheetViews>
  <sheetFormatPr defaultRowHeight="14.5" x14ac:dyDescent="0.35"/>
  <cols>
    <col min="2" max="2" width="11" customWidth="1"/>
    <col min="3" max="3" width="14.81640625" customWidth="1"/>
    <col min="4" max="4" width="20.26953125" customWidth="1"/>
    <col min="5" max="5" width="12.08984375" style="3" customWidth="1"/>
  </cols>
  <sheetData>
    <row r="1" spans="1:5" x14ac:dyDescent="0.35">
      <c r="A1" s="2" t="s">
        <v>505</v>
      </c>
      <c r="B1" s="2" t="s">
        <v>506</v>
      </c>
      <c r="C1" s="2" t="s">
        <v>507</v>
      </c>
      <c r="D1" s="2" t="s">
        <v>508</v>
      </c>
      <c r="E1" s="6" t="s">
        <v>509</v>
      </c>
    </row>
    <row r="2" spans="1:5" x14ac:dyDescent="0.35">
      <c r="A2">
        <v>1</v>
      </c>
      <c r="B2" t="s">
        <v>501</v>
      </c>
      <c r="C2" t="s">
        <v>504</v>
      </c>
      <c r="D2" s="5">
        <v>597</v>
      </c>
      <c r="E2" s="10">
        <v>43009</v>
      </c>
    </row>
    <row r="3" spans="1:5" x14ac:dyDescent="0.35">
      <c r="A3">
        <f t="shared" ref="A3:A66" si="0">A2+1</f>
        <v>2</v>
      </c>
      <c r="B3" t="s">
        <v>503</v>
      </c>
      <c r="C3" t="s">
        <v>504</v>
      </c>
      <c r="D3" s="5">
        <v>0</v>
      </c>
      <c r="E3" s="10">
        <v>43009</v>
      </c>
    </row>
    <row r="4" spans="1:5" x14ac:dyDescent="0.35">
      <c r="A4">
        <f t="shared" si="0"/>
        <v>3</v>
      </c>
      <c r="B4" t="s">
        <v>499</v>
      </c>
      <c r="C4" t="s">
        <v>498</v>
      </c>
      <c r="D4" s="5">
        <v>1272</v>
      </c>
      <c r="E4" s="10">
        <v>43009</v>
      </c>
    </row>
    <row r="5" spans="1:5" x14ac:dyDescent="0.35">
      <c r="A5">
        <f t="shared" si="0"/>
        <v>4</v>
      </c>
      <c r="B5" t="s">
        <v>497</v>
      </c>
      <c r="C5" t="s">
        <v>502</v>
      </c>
      <c r="D5" s="5">
        <v>1451</v>
      </c>
      <c r="E5" s="10">
        <v>43009</v>
      </c>
    </row>
    <row r="6" spans="1:5" x14ac:dyDescent="0.35">
      <c r="A6">
        <f t="shared" si="0"/>
        <v>5</v>
      </c>
      <c r="B6" t="s">
        <v>501</v>
      </c>
      <c r="C6" t="s">
        <v>502</v>
      </c>
      <c r="D6" s="5">
        <v>670</v>
      </c>
      <c r="E6" s="10">
        <v>43009</v>
      </c>
    </row>
    <row r="7" spans="1:5" x14ac:dyDescent="0.35">
      <c r="A7">
        <f t="shared" si="0"/>
        <v>6</v>
      </c>
      <c r="B7" t="s">
        <v>499</v>
      </c>
      <c r="C7" t="s">
        <v>504</v>
      </c>
      <c r="D7" s="5">
        <v>0</v>
      </c>
      <c r="E7" s="10">
        <v>43009</v>
      </c>
    </row>
    <row r="8" spans="1:5" x14ac:dyDescent="0.35">
      <c r="A8">
        <f t="shared" si="0"/>
        <v>7</v>
      </c>
      <c r="B8" t="s">
        <v>499</v>
      </c>
      <c r="C8" t="s">
        <v>502</v>
      </c>
      <c r="D8" s="5">
        <v>902</v>
      </c>
      <c r="E8" s="10">
        <v>43009</v>
      </c>
    </row>
    <row r="9" spans="1:5" x14ac:dyDescent="0.35">
      <c r="A9">
        <f t="shared" si="0"/>
        <v>8</v>
      </c>
      <c r="B9" t="s">
        <v>503</v>
      </c>
      <c r="C9" t="s">
        <v>500</v>
      </c>
      <c r="D9" s="5">
        <v>610</v>
      </c>
      <c r="E9" s="10">
        <v>43009</v>
      </c>
    </row>
    <row r="10" spans="1:5" x14ac:dyDescent="0.35">
      <c r="A10">
        <f t="shared" si="0"/>
        <v>9</v>
      </c>
      <c r="B10" t="s">
        <v>503</v>
      </c>
      <c r="C10" t="s">
        <v>498</v>
      </c>
      <c r="D10" s="5">
        <v>732</v>
      </c>
      <c r="E10" s="10">
        <v>43009</v>
      </c>
    </row>
    <row r="11" spans="1:5" x14ac:dyDescent="0.35">
      <c r="A11">
        <f t="shared" si="0"/>
        <v>10</v>
      </c>
      <c r="B11" t="s">
        <v>501</v>
      </c>
      <c r="C11" t="s">
        <v>498</v>
      </c>
      <c r="D11" s="5">
        <v>686</v>
      </c>
      <c r="E11" s="10">
        <v>43009</v>
      </c>
    </row>
    <row r="12" spans="1:5" x14ac:dyDescent="0.35">
      <c r="A12">
        <f t="shared" si="0"/>
        <v>11</v>
      </c>
      <c r="B12" t="s">
        <v>497</v>
      </c>
      <c r="C12" t="s">
        <v>498</v>
      </c>
      <c r="D12" s="5">
        <v>1477</v>
      </c>
      <c r="E12" s="10">
        <v>43009</v>
      </c>
    </row>
    <row r="13" spans="1:5" x14ac:dyDescent="0.35">
      <c r="A13">
        <f t="shared" si="0"/>
        <v>12</v>
      </c>
      <c r="B13" t="s">
        <v>497</v>
      </c>
      <c r="C13" t="s">
        <v>500</v>
      </c>
      <c r="D13" s="5">
        <v>1810</v>
      </c>
      <c r="E13" s="10">
        <v>43009</v>
      </c>
    </row>
    <row r="14" spans="1:5" x14ac:dyDescent="0.35">
      <c r="A14">
        <f t="shared" si="0"/>
        <v>13</v>
      </c>
      <c r="B14" t="s">
        <v>503</v>
      </c>
      <c r="C14" t="s">
        <v>502</v>
      </c>
      <c r="D14" s="5">
        <v>988</v>
      </c>
      <c r="E14" s="10">
        <v>43009</v>
      </c>
    </row>
    <row r="15" spans="1:5" x14ac:dyDescent="0.35">
      <c r="A15">
        <f t="shared" si="0"/>
        <v>14</v>
      </c>
      <c r="B15" t="s">
        <v>497</v>
      </c>
      <c r="C15" t="s">
        <v>504</v>
      </c>
      <c r="D15" s="5">
        <v>2292</v>
      </c>
      <c r="E15" s="10">
        <v>43009</v>
      </c>
    </row>
    <row r="16" spans="1:5" x14ac:dyDescent="0.35">
      <c r="A16">
        <f t="shared" si="0"/>
        <v>15</v>
      </c>
      <c r="B16" t="s">
        <v>499</v>
      </c>
      <c r="C16" t="s">
        <v>500</v>
      </c>
      <c r="D16" s="5">
        <v>1396</v>
      </c>
      <c r="E16" s="10">
        <v>43009</v>
      </c>
    </row>
    <row r="17" spans="1:5" x14ac:dyDescent="0.35">
      <c r="A17">
        <f t="shared" si="0"/>
        <v>16</v>
      </c>
      <c r="B17" t="s">
        <v>501</v>
      </c>
      <c r="C17" t="s">
        <v>500</v>
      </c>
      <c r="D17" s="5">
        <v>0</v>
      </c>
      <c r="E17" s="10">
        <v>43009</v>
      </c>
    </row>
    <row r="18" spans="1:5" x14ac:dyDescent="0.35">
      <c r="A18">
        <f t="shared" si="0"/>
        <v>17</v>
      </c>
      <c r="B18" t="s">
        <v>501</v>
      </c>
      <c r="C18" t="s">
        <v>502</v>
      </c>
      <c r="D18" s="5">
        <v>0</v>
      </c>
      <c r="E18" s="10">
        <v>43010</v>
      </c>
    </row>
    <row r="19" spans="1:5" x14ac:dyDescent="0.35">
      <c r="A19">
        <f t="shared" si="0"/>
        <v>18</v>
      </c>
      <c r="B19" t="s">
        <v>497</v>
      </c>
      <c r="C19" t="s">
        <v>500</v>
      </c>
      <c r="D19" s="5">
        <v>2153</v>
      </c>
      <c r="E19" s="10">
        <v>43010</v>
      </c>
    </row>
    <row r="20" spans="1:5" x14ac:dyDescent="0.35">
      <c r="A20">
        <f t="shared" si="0"/>
        <v>19</v>
      </c>
      <c r="B20" t="s">
        <v>499</v>
      </c>
      <c r="C20" t="s">
        <v>498</v>
      </c>
      <c r="D20" s="5">
        <v>927</v>
      </c>
      <c r="E20" s="10">
        <v>43010</v>
      </c>
    </row>
    <row r="21" spans="1:5" x14ac:dyDescent="0.35">
      <c r="A21">
        <f t="shared" si="0"/>
        <v>20</v>
      </c>
      <c r="B21" t="s">
        <v>503</v>
      </c>
      <c r="C21" t="s">
        <v>502</v>
      </c>
      <c r="D21" s="5">
        <v>0</v>
      </c>
      <c r="E21" s="10">
        <v>43010</v>
      </c>
    </row>
    <row r="22" spans="1:5" x14ac:dyDescent="0.35">
      <c r="A22">
        <f t="shared" si="0"/>
        <v>21</v>
      </c>
      <c r="B22" t="s">
        <v>503</v>
      </c>
      <c r="C22" t="s">
        <v>504</v>
      </c>
      <c r="D22" s="5">
        <v>1657</v>
      </c>
      <c r="E22" s="10">
        <v>43010</v>
      </c>
    </row>
    <row r="23" spans="1:5" x14ac:dyDescent="0.35">
      <c r="A23">
        <f t="shared" si="0"/>
        <v>22</v>
      </c>
      <c r="B23" t="s">
        <v>497</v>
      </c>
      <c r="C23" t="s">
        <v>498</v>
      </c>
      <c r="D23" s="5">
        <v>2368</v>
      </c>
      <c r="E23" s="10">
        <v>43010</v>
      </c>
    </row>
    <row r="24" spans="1:5" x14ac:dyDescent="0.35">
      <c r="A24">
        <f t="shared" si="0"/>
        <v>23</v>
      </c>
      <c r="B24" t="s">
        <v>499</v>
      </c>
      <c r="C24" t="s">
        <v>504</v>
      </c>
      <c r="D24" s="5">
        <v>975</v>
      </c>
      <c r="E24" s="10">
        <v>43010</v>
      </c>
    </row>
    <row r="25" spans="1:5" x14ac:dyDescent="0.35">
      <c r="A25">
        <f t="shared" si="0"/>
        <v>24</v>
      </c>
      <c r="B25" t="s">
        <v>501</v>
      </c>
      <c r="C25" t="s">
        <v>498</v>
      </c>
      <c r="D25" s="5">
        <v>885</v>
      </c>
      <c r="E25" s="10">
        <v>43010</v>
      </c>
    </row>
    <row r="26" spans="1:5" x14ac:dyDescent="0.35">
      <c r="A26">
        <f t="shared" si="0"/>
        <v>25</v>
      </c>
      <c r="B26" t="s">
        <v>503</v>
      </c>
      <c r="C26" t="s">
        <v>500</v>
      </c>
      <c r="D26" s="5">
        <v>0</v>
      </c>
      <c r="E26" s="10">
        <v>43010</v>
      </c>
    </row>
    <row r="27" spans="1:5" x14ac:dyDescent="0.35">
      <c r="A27">
        <f t="shared" si="0"/>
        <v>26</v>
      </c>
      <c r="B27" t="s">
        <v>499</v>
      </c>
      <c r="C27" t="s">
        <v>500</v>
      </c>
      <c r="D27" s="5">
        <v>1315</v>
      </c>
      <c r="E27" s="10">
        <v>43010</v>
      </c>
    </row>
    <row r="28" spans="1:5" x14ac:dyDescent="0.35">
      <c r="A28">
        <f t="shared" si="0"/>
        <v>27</v>
      </c>
      <c r="B28" t="s">
        <v>497</v>
      </c>
      <c r="C28" t="s">
        <v>502</v>
      </c>
      <c r="D28" s="5">
        <v>827</v>
      </c>
      <c r="E28" s="10">
        <v>43010</v>
      </c>
    </row>
    <row r="29" spans="1:5" x14ac:dyDescent="0.35">
      <c r="A29">
        <f t="shared" si="0"/>
        <v>28</v>
      </c>
      <c r="B29" t="s">
        <v>501</v>
      </c>
      <c r="C29" t="s">
        <v>504</v>
      </c>
      <c r="D29" s="5">
        <v>547</v>
      </c>
      <c r="E29" s="10">
        <v>43010</v>
      </c>
    </row>
    <row r="30" spans="1:5" x14ac:dyDescent="0.35">
      <c r="A30">
        <f t="shared" si="0"/>
        <v>29</v>
      </c>
      <c r="B30" t="s">
        <v>499</v>
      </c>
      <c r="C30" t="s">
        <v>502</v>
      </c>
      <c r="D30" s="5">
        <v>1007</v>
      </c>
      <c r="E30" s="10">
        <v>43010</v>
      </c>
    </row>
    <row r="31" spans="1:5" x14ac:dyDescent="0.35">
      <c r="A31">
        <f t="shared" si="0"/>
        <v>30</v>
      </c>
      <c r="B31" t="s">
        <v>497</v>
      </c>
      <c r="C31" t="s">
        <v>504</v>
      </c>
      <c r="D31" s="5">
        <v>0</v>
      </c>
      <c r="E31" s="10">
        <v>43010</v>
      </c>
    </row>
    <row r="32" spans="1:5" x14ac:dyDescent="0.35">
      <c r="A32">
        <f t="shared" si="0"/>
        <v>31</v>
      </c>
      <c r="B32" t="s">
        <v>501</v>
      </c>
      <c r="C32" t="s">
        <v>500</v>
      </c>
      <c r="D32" s="5">
        <v>890</v>
      </c>
      <c r="E32" s="10">
        <v>43010</v>
      </c>
    </row>
    <row r="33" spans="1:5" x14ac:dyDescent="0.35">
      <c r="A33">
        <f t="shared" si="0"/>
        <v>32</v>
      </c>
      <c r="B33" t="s">
        <v>503</v>
      </c>
      <c r="C33" t="s">
        <v>498</v>
      </c>
      <c r="D33" s="5">
        <v>1988</v>
      </c>
      <c r="E33" s="10">
        <v>43010</v>
      </c>
    </row>
    <row r="34" spans="1:5" x14ac:dyDescent="0.35">
      <c r="A34">
        <f t="shared" si="0"/>
        <v>33</v>
      </c>
      <c r="B34" t="s">
        <v>501</v>
      </c>
      <c r="C34" t="s">
        <v>502</v>
      </c>
      <c r="D34" s="5">
        <v>721</v>
      </c>
      <c r="E34" s="10">
        <v>43011</v>
      </c>
    </row>
    <row r="35" spans="1:5" x14ac:dyDescent="0.35">
      <c r="A35">
        <f t="shared" si="0"/>
        <v>34</v>
      </c>
      <c r="B35" t="s">
        <v>501</v>
      </c>
      <c r="C35" t="s">
        <v>504</v>
      </c>
      <c r="D35" s="5">
        <v>0</v>
      </c>
      <c r="E35" s="10">
        <v>43011</v>
      </c>
    </row>
    <row r="36" spans="1:5" x14ac:dyDescent="0.35">
      <c r="A36">
        <f t="shared" si="0"/>
        <v>35</v>
      </c>
      <c r="B36" t="s">
        <v>499</v>
      </c>
      <c r="C36" t="s">
        <v>502</v>
      </c>
      <c r="D36" s="5">
        <v>1061</v>
      </c>
      <c r="E36" s="10">
        <v>43011</v>
      </c>
    </row>
    <row r="37" spans="1:5" x14ac:dyDescent="0.35">
      <c r="A37">
        <f t="shared" si="0"/>
        <v>36</v>
      </c>
      <c r="B37" t="s">
        <v>499</v>
      </c>
      <c r="C37" t="s">
        <v>498</v>
      </c>
      <c r="D37" s="5">
        <v>1170</v>
      </c>
      <c r="E37" s="10">
        <v>43011</v>
      </c>
    </row>
    <row r="38" spans="1:5" x14ac:dyDescent="0.35">
      <c r="A38">
        <f t="shared" si="0"/>
        <v>37</v>
      </c>
      <c r="B38" t="s">
        <v>497</v>
      </c>
      <c r="C38" t="s">
        <v>502</v>
      </c>
      <c r="D38" s="5">
        <v>2228</v>
      </c>
      <c r="E38" s="10">
        <v>43011</v>
      </c>
    </row>
    <row r="39" spans="1:5" x14ac:dyDescent="0.35">
      <c r="A39">
        <f t="shared" si="0"/>
        <v>38</v>
      </c>
      <c r="B39" t="s">
        <v>497</v>
      </c>
      <c r="C39" t="s">
        <v>500</v>
      </c>
      <c r="D39" s="5">
        <v>944</v>
      </c>
      <c r="E39" s="10">
        <v>43011</v>
      </c>
    </row>
    <row r="40" spans="1:5" x14ac:dyDescent="0.35">
      <c r="A40">
        <f t="shared" si="0"/>
        <v>39</v>
      </c>
      <c r="B40" t="s">
        <v>501</v>
      </c>
      <c r="C40" t="s">
        <v>500</v>
      </c>
      <c r="D40" s="5">
        <v>765</v>
      </c>
      <c r="E40" s="10">
        <v>43011</v>
      </c>
    </row>
    <row r="41" spans="1:5" x14ac:dyDescent="0.35">
      <c r="A41">
        <f t="shared" si="0"/>
        <v>40</v>
      </c>
      <c r="B41" t="s">
        <v>503</v>
      </c>
      <c r="C41" t="s">
        <v>498</v>
      </c>
      <c r="D41" s="5">
        <v>0</v>
      </c>
      <c r="E41" s="10">
        <v>43011</v>
      </c>
    </row>
    <row r="42" spans="1:5" x14ac:dyDescent="0.35">
      <c r="A42">
        <f t="shared" si="0"/>
        <v>41</v>
      </c>
      <c r="B42" t="s">
        <v>503</v>
      </c>
      <c r="C42" t="s">
        <v>504</v>
      </c>
      <c r="D42" s="5">
        <v>1121</v>
      </c>
      <c r="E42" s="10">
        <v>43011</v>
      </c>
    </row>
    <row r="43" spans="1:5" x14ac:dyDescent="0.35">
      <c r="A43">
        <f t="shared" si="0"/>
        <v>42</v>
      </c>
      <c r="B43" t="s">
        <v>499</v>
      </c>
      <c r="C43" t="s">
        <v>500</v>
      </c>
      <c r="D43" s="5">
        <v>0</v>
      </c>
      <c r="E43" s="10">
        <v>43011</v>
      </c>
    </row>
    <row r="44" spans="1:5" x14ac:dyDescent="0.35">
      <c r="A44">
        <f t="shared" si="0"/>
        <v>43</v>
      </c>
      <c r="B44" t="s">
        <v>499</v>
      </c>
      <c r="C44" t="s">
        <v>504</v>
      </c>
      <c r="D44" s="5">
        <v>0</v>
      </c>
      <c r="E44" s="10">
        <v>43011</v>
      </c>
    </row>
    <row r="45" spans="1:5" x14ac:dyDescent="0.35">
      <c r="A45">
        <f t="shared" si="0"/>
        <v>44</v>
      </c>
      <c r="B45" t="s">
        <v>501</v>
      </c>
      <c r="C45" t="s">
        <v>498</v>
      </c>
      <c r="D45" s="5">
        <v>0</v>
      </c>
      <c r="E45" s="10">
        <v>43011</v>
      </c>
    </row>
    <row r="46" spans="1:5" x14ac:dyDescent="0.35">
      <c r="A46">
        <f t="shared" si="0"/>
        <v>45</v>
      </c>
      <c r="B46" t="s">
        <v>497</v>
      </c>
      <c r="C46" t="s">
        <v>498</v>
      </c>
      <c r="D46" s="5">
        <v>1957</v>
      </c>
      <c r="E46" s="10">
        <v>43011</v>
      </c>
    </row>
    <row r="47" spans="1:5" x14ac:dyDescent="0.35">
      <c r="A47">
        <f t="shared" si="0"/>
        <v>46</v>
      </c>
      <c r="B47" t="s">
        <v>503</v>
      </c>
      <c r="C47" t="s">
        <v>502</v>
      </c>
      <c r="D47" s="5">
        <v>1069</v>
      </c>
      <c r="E47" s="10">
        <v>43011</v>
      </c>
    </row>
    <row r="48" spans="1:5" x14ac:dyDescent="0.35">
      <c r="A48">
        <f t="shared" si="0"/>
        <v>47</v>
      </c>
      <c r="B48" t="s">
        <v>497</v>
      </c>
      <c r="C48" t="s">
        <v>504</v>
      </c>
      <c r="D48" s="5">
        <v>0</v>
      </c>
      <c r="E48" s="10">
        <v>43011</v>
      </c>
    </row>
    <row r="49" spans="1:5" x14ac:dyDescent="0.35">
      <c r="A49">
        <f t="shared" si="0"/>
        <v>48</v>
      </c>
      <c r="B49" t="s">
        <v>503</v>
      </c>
      <c r="C49" t="s">
        <v>500</v>
      </c>
      <c r="D49" s="5">
        <v>1671</v>
      </c>
      <c r="E49" s="10">
        <v>43011</v>
      </c>
    </row>
    <row r="50" spans="1:5" x14ac:dyDescent="0.35">
      <c r="A50">
        <f t="shared" si="0"/>
        <v>49</v>
      </c>
      <c r="B50" t="s">
        <v>503</v>
      </c>
      <c r="C50" t="s">
        <v>500</v>
      </c>
      <c r="D50" s="5">
        <v>1574</v>
      </c>
      <c r="E50" s="10">
        <v>43012</v>
      </c>
    </row>
    <row r="51" spans="1:5" x14ac:dyDescent="0.35">
      <c r="A51">
        <f t="shared" si="0"/>
        <v>50</v>
      </c>
      <c r="B51" t="s">
        <v>501</v>
      </c>
      <c r="C51" t="s">
        <v>502</v>
      </c>
      <c r="D51" s="5">
        <v>718</v>
      </c>
      <c r="E51" s="10">
        <v>43012</v>
      </c>
    </row>
    <row r="52" spans="1:5" x14ac:dyDescent="0.35">
      <c r="A52">
        <f t="shared" si="0"/>
        <v>51</v>
      </c>
      <c r="B52" t="s">
        <v>503</v>
      </c>
      <c r="C52" t="s">
        <v>502</v>
      </c>
      <c r="D52" s="5">
        <v>819</v>
      </c>
      <c r="E52" s="10">
        <v>43012</v>
      </c>
    </row>
    <row r="53" spans="1:5" x14ac:dyDescent="0.35">
      <c r="A53">
        <f t="shared" si="0"/>
        <v>52</v>
      </c>
      <c r="B53" t="s">
        <v>501</v>
      </c>
      <c r="C53" t="s">
        <v>498</v>
      </c>
      <c r="D53" s="5">
        <v>818</v>
      </c>
      <c r="E53" s="10">
        <v>43012</v>
      </c>
    </row>
    <row r="54" spans="1:5" x14ac:dyDescent="0.35">
      <c r="A54">
        <f t="shared" si="0"/>
        <v>53</v>
      </c>
      <c r="B54" t="s">
        <v>497</v>
      </c>
      <c r="C54" t="s">
        <v>500</v>
      </c>
      <c r="D54" s="5">
        <v>0</v>
      </c>
      <c r="E54" s="10">
        <v>43012</v>
      </c>
    </row>
    <row r="55" spans="1:5" x14ac:dyDescent="0.35">
      <c r="A55">
        <f t="shared" si="0"/>
        <v>54</v>
      </c>
      <c r="B55" t="s">
        <v>499</v>
      </c>
      <c r="C55" t="s">
        <v>504</v>
      </c>
      <c r="D55" s="5">
        <v>1461</v>
      </c>
      <c r="E55" s="10">
        <v>43012</v>
      </c>
    </row>
    <row r="56" spans="1:5" x14ac:dyDescent="0.35">
      <c r="A56">
        <f t="shared" si="0"/>
        <v>55</v>
      </c>
      <c r="B56" t="s">
        <v>501</v>
      </c>
      <c r="C56" t="s">
        <v>500</v>
      </c>
      <c r="D56" s="5">
        <v>729</v>
      </c>
      <c r="E56" s="10">
        <v>43012</v>
      </c>
    </row>
    <row r="57" spans="1:5" x14ac:dyDescent="0.35">
      <c r="A57">
        <f t="shared" si="0"/>
        <v>56</v>
      </c>
      <c r="B57" t="s">
        <v>499</v>
      </c>
      <c r="C57" t="s">
        <v>498</v>
      </c>
      <c r="D57" s="5">
        <v>1242</v>
      </c>
      <c r="E57" s="10">
        <v>43012</v>
      </c>
    </row>
    <row r="58" spans="1:5" x14ac:dyDescent="0.35">
      <c r="A58">
        <f t="shared" si="0"/>
        <v>57</v>
      </c>
      <c r="B58" t="s">
        <v>497</v>
      </c>
      <c r="C58" t="s">
        <v>498</v>
      </c>
      <c r="D58" s="5">
        <v>0</v>
      </c>
      <c r="E58" s="10">
        <v>43012</v>
      </c>
    </row>
    <row r="59" spans="1:5" x14ac:dyDescent="0.35">
      <c r="A59">
        <f t="shared" si="0"/>
        <v>58</v>
      </c>
      <c r="B59" t="s">
        <v>503</v>
      </c>
      <c r="C59" t="s">
        <v>498</v>
      </c>
      <c r="D59" s="5">
        <v>1992</v>
      </c>
      <c r="E59" s="10">
        <v>43012</v>
      </c>
    </row>
    <row r="60" spans="1:5" x14ac:dyDescent="0.35">
      <c r="A60">
        <f t="shared" si="0"/>
        <v>59</v>
      </c>
      <c r="B60" t="s">
        <v>503</v>
      </c>
      <c r="C60" t="s">
        <v>504</v>
      </c>
      <c r="D60" s="5">
        <v>1616</v>
      </c>
      <c r="E60" s="10">
        <v>43012</v>
      </c>
    </row>
    <row r="61" spans="1:5" x14ac:dyDescent="0.35">
      <c r="A61">
        <f t="shared" si="0"/>
        <v>60</v>
      </c>
      <c r="B61" t="s">
        <v>499</v>
      </c>
      <c r="C61" t="s">
        <v>500</v>
      </c>
      <c r="D61" s="5">
        <v>0</v>
      </c>
      <c r="E61" s="10">
        <v>43012</v>
      </c>
    </row>
    <row r="62" spans="1:5" x14ac:dyDescent="0.35">
      <c r="A62">
        <f t="shared" si="0"/>
        <v>61</v>
      </c>
      <c r="B62" t="s">
        <v>499</v>
      </c>
      <c r="C62" t="s">
        <v>502</v>
      </c>
      <c r="D62" s="5">
        <v>1025</v>
      </c>
      <c r="E62" s="10">
        <v>43012</v>
      </c>
    </row>
    <row r="63" spans="1:5" x14ac:dyDescent="0.35">
      <c r="A63">
        <f t="shared" si="0"/>
        <v>62</v>
      </c>
      <c r="B63" t="s">
        <v>501</v>
      </c>
      <c r="C63" t="s">
        <v>504</v>
      </c>
      <c r="D63" s="5">
        <v>716</v>
      </c>
      <c r="E63" s="10">
        <v>43012</v>
      </c>
    </row>
    <row r="64" spans="1:5" x14ac:dyDescent="0.35">
      <c r="A64">
        <f t="shared" si="0"/>
        <v>63</v>
      </c>
      <c r="B64" t="s">
        <v>497</v>
      </c>
      <c r="C64" t="s">
        <v>502</v>
      </c>
      <c r="D64" s="5">
        <v>0</v>
      </c>
      <c r="E64" s="10">
        <v>43012</v>
      </c>
    </row>
    <row r="65" spans="1:5" x14ac:dyDescent="0.35">
      <c r="A65">
        <f t="shared" si="0"/>
        <v>64</v>
      </c>
      <c r="B65" t="s">
        <v>497</v>
      </c>
      <c r="C65" t="s">
        <v>504</v>
      </c>
      <c r="D65" s="5">
        <v>2364</v>
      </c>
      <c r="E65" s="10">
        <v>43012</v>
      </c>
    </row>
    <row r="66" spans="1:5" x14ac:dyDescent="0.35">
      <c r="A66">
        <f t="shared" si="0"/>
        <v>65</v>
      </c>
      <c r="B66" t="s">
        <v>503</v>
      </c>
      <c r="C66" t="s">
        <v>504</v>
      </c>
      <c r="D66" s="5">
        <v>1991</v>
      </c>
      <c r="E66" s="10">
        <v>43013</v>
      </c>
    </row>
    <row r="67" spans="1:5" x14ac:dyDescent="0.35">
      <c r="A67">
        <f t="shared" ref="A67:A130" si="1">A66+1</f>
        <v>66</v>
      </c>
      <c r="B67" t="s">
        <v>499</v>
      </c>
      <c r="C67" t="s">
        <v>498</v>
      </c>
      <c r="D67" s="5">
        <v>1492</v>
      </c>
      <c r="E67" s="10">
        <v>43013</v>
      </c>
    </row>
    <row r="68" spans="1:5" x14ac:dyDescent="0.35">
      <c r="A68">
        <f t="shared" si="1"/>
        <v>67</v>
      </c>
      <c r="B68" t="s">
        <v>499</v>
      </c>
      <c r="C68" t="s">
        <v>504</v>
      </c>
      <c r="D68" s="5">
        <v>1047</v>
      </c>
      <c r="E68" s="10">
        <v>43013</v>
      </c>
    </row>
    <row r="69" spans="1:5" x14ac:dyDescent="0.35">
      <c r="A69">
        <f t="shared" si="1"/>
        <v>68</v>
      </c>
      <c r="B69" t="s">
        <v>499</v>
      </c>
      <c r="C69" t="s">
        <v>500</v>
      </c>
      <c r="D69" s="5">
        <v>1136</v>
      </c>
      <c r="E69" s="10">
        <v>43013</v>
      </c>
    </row>
    <row r="70" spans="1:5" x14ac:dyDescent="0.35">
      <c r="A70">
        <f t="shared" si="1"/>
        <v>69</v>
      </c>
      <c r="B70" t="s">
        <v>501</v>
      </c>
      <c r="C70" t="s">
        <v>498</v>
      </c>
      <c r="D70" s="5">
        <v>844</v>
      </c>
      <c r="E70" s="10">
        <v>43013</v>
      </c>
    </row>
    <row r="71" spans="1:5" x14ac:dyDescent="0.35">
      <c r="A71">
        <f t="shared" si="1"/>
        <v>70</v>
      </c>
      <c r="B71" t="s">
        <v>503</v>
      </c>
      <c r="C71" t="s">
        <v>502</v>
      </c>
      <c r="D71" s="5">
        <v>0</v>
      </c>
      <c r="E71" s="10">
        <v>43013</v>
      </c>
    </row>
    <row r="72" spans="1:5" x14ac:dyDescent="0.35">
      <c r="A72">
        <f t="shared" si="1"/>
        <v>71</v>
      </c>
      <c r="B72" t="s">
        <v>497</v>
      </c>
      <c r="C72" t="s">
        <v>498</v>
      </c>
      <c r="D72" s="5">
        <v>0</v>
      </c>
      <c r="E72" s="10">
        <v>43013</v>
      </c>
    </row>
    <row r="73" spans="1:5" x14ac:dyDescent="0.35">
      <c r="A73">
        <f t="shared" si="1"/>
        <v>72</v>
      </c>
      <c r="B73" t="s">
        <v>497</v>
      </c>
      <c r="C73" t="s">
        <v>502</v>
      </c>
      <c r="D73" s="5">
        <v>2347</v>
      </c>
      <c r="E73" s="10">
        <v>43013</v>
      </c>
    </row>
    <row r="74" spans="1:5" x14ac:dyDescent="0.35">
      <c r="A74">
        <f t="shared" si="1"/>
        <v>73</v>
      </c>
      <c r="B74" t="s">
        <v>503</v>
      </c>
      <c r="C74" t="s">
        <v>498</v>
      </c>
      <c r="D74" s="5">
        <v>999</v>
      </c>
      <c r="E74" s="10">
        <v>43013</v>
      </c>
    </row>
    <row r="75" spans="1:5" x14ac:dyDescent="0.35">
      <c r="A75">
        <f t="shared" si="1"/>
        <v>74</v>
      </c>
      <c r="B75" t="s">
        <v>499</v>
      </c>
      <c r="C75" t="s">
        <v>502</v>
      </c>
      <c r="D75" s="5">
        <v>1428</v>
      </c>
      <c r="E75" s="10">
        <v>43013</v>
      </c>
    </row>
    <row r="76" spans="1:5" x14ac:dyDescent="0.35">
      <c r="A76">
        <f t="shared" si="1"/>
        <v>75</v>
      </c>
      <c r="B76" t="s">
        <v>503</v>
      </c>
      <c r="C76" t="s">
        <v>500</v>
      </c>
      <c r="D76" s="5">
        <v>0</v>
      </c>
      <c r="E76" s="10">
        <v>43013</v>
      </c>
    </row>
    <row r="77" spans="1:5" x14ac:dyDescent="0.35">
      <c r="A77">
        <f t="shared" si="1"/>
        <v>76</v>
      </c>
      <c r="B77" t="s">
        <v>501</v>
      </c>
      <c r="C77" t="s">
        <v>504</v>
      </c>
      <c r="D77" s="5">
        <v>508</v>
      </c>
      <c r="E77" s="10">
        <v>43013</v>
      </c>
    </row>
    <row r="78" spans="1:5" x14ac:dyDescent="0.35">
      <c r="A78">
        <f t="shared" si="1"/>
        <v>77</v>
      </c>
      <c r="B78" t="s">
        <v>501</v>
      </c>
      <c r="C78" t="s">
        <v>502</v>
      </c>
      <c r="D78" s="5">
        <v>619</v>
      </c>
      <c r="E78" s="10">
        <v>43013</v>
      </c>
    </row>
    <row r="79" spans="1:5" x14ac:dyDescent="0.35">
      <c r="A79">
        <f t="shared" si="1"/>
        <v>78</v>
      </c>
      <c r="B79" t="s">
        <v>497</v>
      </c>
      <c r="C79" t="s">
        <v>500</v>
      </c>
      <c r="D79" s="5">
        <v>1878</v>
      </c>
      <c r="E79" s="10">
        <v>43013</v>
      </c>
    </row>
    <row r="80" spans="1:5" x14ac:dyDescent="0.35">
      <c r="A80">
        <f t="shared" si="1"/>
        <v>79</v>
      </c>
      <c r="B80" t="s">
        <v>501</v>
      </c>
      <c r="C80" t="s">
        <v>500</v>
      </c>
      <c r="D80" s="5">
        <v>540</v>
      </c>
      <c r="E80" s="10">
        <v>43013</v>
      </c>
    </row>
    <row r="81" spans="1:5" x14ac:dyDescent="0.35">
      <c r="A81">
        <f t="shared" si="1"/>
        <v>80</v>
      </c>
      <c r="B81" t="s">
        <v>497</v>
      </c>
      <c r="C81" t="s">
        <v>504</v>
      </c>
      <c r="D81" s="5">
        <v>2369</v>
      </c>
      <c r="E81" s="10">
        <v>43013</v>
      </c>
    </row>
    <row r="82" spans="1:5" x14ac:dyDescent="0.35">
      <c r="A82">
        <f t="shared" si="1"/>
        <v>81</v>
      </c>
      <c r="B82" t="s">
        <v>503</v>
      </c>
      <c r="C82" t="s">
        <v>498</v>
      </c>
      <c r="D82" s="5">
        <v>883</v>
      </c>
      <c r="E82" s="10">
        <v>43014</v>
      </c>
    </row>
    <row r="83" spans="1:5" x14ac:dyDescent="0.35">
      <c r="A83">
        <f t="shared" si="1"/>
        <v>82</v>
      </c>
      <c r="B83" t="s">
        <v>501</v>
      </c>
      <c r="C83" t="s">
        <v>498</v>
      </c>
      <c r="D83" s="5">
        <v>0</v>
      </c>
      <c r="E83" s="10">
        <v>43014</v>
      </c>
    </row>
    <row r="84" spans="1:5" x14ac:dyDescent="0.35">
      <c r="A84">
        <f t="shared" si="1"/>
        <v>83</v>
      </c>
      <c r="B84" t="s">
        <v>497</v>
      </c>
      <c r="C84" t="s">
        <v>504</v>
      </c>
      <c r="D84" s="5">
        <v>2406</v>
      </c>
      <c r="E84" s="10">
        <v>43014</v>
      </c>
    </row>
    <row r="85" spans="1:5" x14ac:dyDescent="0.35">
      <c r="A85">
        <f t="shared" si="1"/>
        <v>84</v>
      </c>
      <c r="B85" t="s">
        <v>499</v>
      </c>
      <c r="C85" t="s">
        <v>500</v>
      </c>
      <c r="D85" s="5">
        <v>0</v>
      </c>
      <c r="E85" s="10">
        <v>43014</v>
      </c>
    </row>
    <row r="86" spans="1:5" x14ac:dyDescent="0.35">
      <c r="A86">
        <f t="shared" si="1"/>
        <v>85</v>
      </c>
      <c r="B86" t="s">
        <v>499</v>
      </c>
      <c r="C86" t="s">
        <v>502</v>
      </c>
      <c r="D86" s="5">
        <v>1256</v>
      </c>
      <c r="E86" s="10">
        <v>43014</v>
      </c>
    </row>
    <row r="87" spans="1:5" x14ac:dyDescent="0.35">
      <c r="A87">
        <f t="shared" si="1"/>
        <v>86</v>
      </c>
      <c r="B87" t="s">
        <v>501</v>
      </c>
      <c r="C87" t="s">
        <v>502</v>
      </c>
      <c r="D87" s="5">
        <v>0</v>
      </c>
      <c r="E87" s="10">
        <v>43014</v>
      </c>
    </row>
    <row r="88" spans="1:5" x14ac:dyDescent="0.35">
      <c r="A88">
        <f t="shared" si="1"/>
        <v>87</v>
      </c>
      <c r="B88" t="s">
        <v>497</v>
      </c>
      <c r="C88" t="s">
        <v>500</v>
      </c>
      <c r="D88" s="5">
        <v>1248</v>
      </c>
      <c r="E88" s="10">
        <v>43014</v>
      </c>
    </row>
    <row r="89" spans="1:5" x14ac:dyDescent="0.35">
      <c r="A89">
        <f t="shared" si="1"/>
        <v>88</v>
      </c>
      <c r="B89" t="s">
        <v>503</v>
      </c>
      <c r="C89" t="s">
        <v>500</v>
      </c>
      <c r="D89" s="5">
        <v>1106</v>
      </c>
      <c r="E89" s="10">
        <v>43014</v>
      </c>
    </row>
    <row r="90" spans="1:5" x14ac:dyDescent="0.35">
      <c r="A90">
        <f t="shared" si="1"/>
        <v>89</v>
      </c>
      <c r="B90" t="s">
        <v>497</v>
      </c>
      <c r="C90" t="s">
        <v>498</v>
      </c>
      <c r="D90" s="5">
        <v>0</v>
      </c>
      <c r="E90" s="10">
        <v>43014</v>
      </c>
    </row>
    <row r="91" spans="1:5" x14ac:dyDescent="0.35">
      <c r="A91">
        <f t="shared" si="1"/>
        <v>90</v>
      </c>
      <c r="B91" t="s">
        <v>501</v>
      </c>
      <c r="C91" t="s">
        <v>500</v>
      </c>
      <c r="D91" s="5">
        <v>523</v>
      </c>
      <c r="E91" s="10">
        <v>43014</v>
      </c>
    </row>
    <row r="92" spans="1:5" x14ac:dyDescent="0.35">
      <c r="A92">
        <f t="shared" si="1"/>
        <v>91</v>
      </c>
      <c r="B92" t="s">
        <v>503</v>
      </c>
      <c r="C92" t="s">
        <v>504</v>
      </c>
      <c r="D92" s="5">
        <v>680</v>
      </c>
      <c r="E92" s="10">
        <v>43014</v>
      </c>
    </row>
    <row r="93" spans="1:5" x14ac:dyDescent="0.35">
      <c r="A93">
        <f t="shared" si="1"/>
        <v>92</v>
      </c>
      <c r="B93" t="s">
        <v>503</v>
      </c>
      <c r="C93" t="s">
        <v>502</v>
      </c>
      <c r="D93" s="5">
        <v>0</v>
      </c>
      <c r="E93" s="10">
        <v>43014</v>
      </c>
    </row>
    <row r="94" spans="1:5" x14ac:dyDescent="0.35">
      <c r="A94">
        <f t="shared" si="1"/>
        <v>93</v>
      </c>
      <c r="B94" t="s">
        <v>497</v>
      </c>
      <c r="C94" t="s">
        <v>502</v>
      </c>
      <c r="D94" s="5">
        <v>1733</v>
      </c>
      <c r="E94" s="10">
        <v>43014</v>
      </c>
    </row>
    <row r="95" spans="1:5" x14ac:dyDescent="0.35">
      <c r="A95">
        <f t="shared" si="1"/>
        <v>94</v>
      </c>
      <c r="B95" t="s">
        <v>499</v>
      </c>
      <c r="C95" t="s">
        <v>498</v>
      </c>
      <c r="D95" s="5">
        <v>973</v>
      </c>
      <c r="E95" s="10">
        <v>43014</v>
      </c>
    </row>
    <row r="96" spans="1:5" x14ac:dyDescent="0.35">
      <c r="A96">
        <f t="shared" si="1"/>
        <v>95</v>
      </c>
      <c r="B96" t="s">
        <v>501</v>
      </c>
      <c r="C96" t="s">
        <v>504</v>
      </c>
      <c r="D96" s="5">
        <v>750</v>
      </c>
      <c r="E96" s="10">
        <v>43014</v>
      </c>
    </row>
    <row r="97" spans="1:5" x14ac:dyDescent="0.35">
      <c r="A97">
        <f t="shared" si="1"/>
        <v>96</v>
      </c>
      <c r="B97" t="s">
        <v>499</v>
      </c>
      <c r="C97" t="s">
        <v>504</v>
      </c>
      <c r="D97" s="5">
        <v>1010</v>
      </c>
      <c r="E97" s="10">
        <v>43014</v>
      </c>
    </row>
    <row r="98" spans="1:5" x14ac:dyDescent="0.35">
      <c r="A98">
        <f t="shared" si="1"/>
        <v>97</v>
      </c>
      <c r="B98" t="s">
        <v>497</v>
      </c>
      <c r="C98" t="s">
        <v>500</v>
      </c>
      <c r="D98" s="5">
        <v>1489</v>
      </c>
      <c r="E98" s="10">
        <v>43015</v>
      </c>
    </row>
    <row r="99" spans="1:5" x14ac:dyDescent="0.35">
      <c r="A99">
        <f t="shared" si="1"/>
        <v>98</v>
      </c>
      <c r="B99" t="s">
        <v>503</v>
      </c>
      <c r="C99" t="s">
        <v>500</v>
      </c>
      <c r="D99" s="5">
        <v>1564</v>
      </c>
      <c r="E99" s="10">
        <v>43015</v>
      </c>
    </row>
    <row r="100" spans="1:5" x14ac:dyDescent="0.35">
      <c r="A100">
        <f t="shared" si="1"/>
        <v>99</v>
      </c>
      <c r="B100" t="s">
        <v>497</v>
      </c>
      <c r="C100" t="s">
        <v>502</v>
      </c>
      <c r="D100" s="5">
        <v>0</v>
      </c>
      <c r="E100" s="10">
        <v>43015</v>
      </c>
    </row>
    <row r="101" spans="1:5" x14ac:dyDescent="0.35">
      <c r="A101">
        <f t="shared" si="1"/>
        <v>100</v>
      </c>
      <c r="B101" t="s">
        <v>503</v>
      </c>
      <c r="C101" t="s">
        <v>498</v>
      </c>
      <c r="D101" s="5">
        <v>1419</v>
      </c>
      <c r="E101" s="10">
        <v>43015</v>
      </c>
    </row>
    <row r="102" spans="1:5" x14ac:dyDescent="0.35">
      <c r="A102">
        <f t="shared" si="1"/>
        <v>101</v>
      </c>
      <c r="B102" t="s">
        <v>497</v>
      </c>
      <c r="C102" t="s">
        <v>498</v>
      </c>
      <c r="D102" s="5">
        <v>1117</v>
      </c>
      <c r="E102" s="10">
        <v>43015</v>
      </c>
    </row>
    <row r="103" spans="1:5" x14ac:dyDescent="0.35">
      <c r="A103">
        <f t="shared" si="1"/>
        <v>102</v>
      </c>
      <c r="B103" t="s">
        <v>499</v>
      </c>
      <c r="C103" t="s">
        <v>500</v>
      </c>
      <c r="D103" s="5">
        <v>1424</v>
      </c>
      <c r="E103" s="10">
        <v>43015</v>
      </c>
    </row>
    <row r="104" spans="1:5" x14ac:dyDescent="0.35">
      <c r="A104">
        <f t="shared" si="1"/>
        <v>103</v>
      </c>
      <c r="B104" t="s">
        <v>499</v>
      </c>
      <c r="C104" t="s">
        <v>504</v>
      </c>
      <c r="D104" s="5">
        <v>924</v>
      </c>
      <c r="E104" s="10">
        <v>43015</v>
      </c>
    </row>
    <row r="105" spans="1:5" x14ac:dyDescent="0.35">
      <c r="A105">
        <f t="shared" si="1"/>
        <v>104</v>
      </c>
      <c r="B105" t="s">
        <v>499</v>
      </c>
      <c r="C105" t="s">
        <v>498</v>
      </c>
      <c r="D105" s="5">
        <v>984</v>
      </c>
      <c r="E105" s="10">
        <v>43015</v>
      </c>
    </row>
    <row r="106" spans="1:5" x14ac:dyDescent="0.35">
      <c r="A106">
        <f t="shared" si="1"/>
        <v>105</v>
      </c>
      <c r="B106" t="s">
        <v>503</v>
      </c>
      <c r="C106" t="s">
        <v>504</v>
      </c>
      <c r="D106" s="5">
        <v>1182</v>
      </c>
      <c r="E106" s="10">
        <v>43015</v>
      </c>
    </row>
    <row r="107" spans="1:5" x14ac:dyDescent="0.35">
      <c r="A107">
        <f t="shared" si="1"/>
        <v>106</v>
      </c>
      <c r="B107" t="s">
        <v>503</v>
      </c>
      <c r="C107" t="s">
        <v>502</v>
      </c>
      <c r="D107" s="5">
        <v>1535</v>
      </c>
      <c r="E107" s="10">
        <v>43015</v>
      </c>
    </row>
    <row r="108" spans="1:5" x14ac:dyDescent="0.35">
      <c r="A108">
        <f t="shared" si="1"/>
        <v>107</v>
      </c>
      <c r="B108" t="s">
        <v>501</v>
      </c>
      <c r="C108" t="s">
        <v>500</v>
      </c>
      <c r="D108" s="5">
        <v>978</v>
      </c>
      <c r="E108" s="10">
        <v>43015</v>
      </c>
    </row>
    <row r="109" spans="1:5" x14ac:dyDescent="0.35">
      <c r="A109">
        <f t="shared" si="1"/>
        <v>108</v>
      </c>
      <c r="B109" t="s">
        <v>501</v>
      </c>
      <c r="C109" t="s">
        <v>498</v>
      </c>
      <c r="D109" s="5">
        <v>765</v>
      </c>
      <c r="E109" s="10">
        <v>43015</v>
      </c>
    </row>
    <row r="110" spans="1:5" x14ac:dyDescent="0.35">
      <c r="A110">
        <f t="shared" si="1"/>
        <v>109</v>
      </c>
      <c r="B110" t="s">
        <v>497</v>
      </c>
      <c r="C110" t="s">
        <v>504</v>
      </c>
      <c r="D110" s="5">
        <v>0</v>
      </c>
      <c r="E110" s="10">
        <v>43015</v>
      </c>
    </row>
    <row r="111" spans="1:5" x14ac:dyDescent="0.35">
      <c r="A111">
        <f t="shared" si="1"/>
        <v>110</v>
      </c>
      <c r="B111" t="s">
        <v>499</v>
      </c>
      <c r="C111" t="s">
        <v>502</v>
      </c>
      <c r="D111" s="5">
        <v>0</v>
      </c>
      <c r="E111" s="10">
        <v>43015</v>
      </c>
    </row>
    <row r="112" spans="1:5" x14ac:dyDescent="0.35">
      <c r="A112">
        <f t="shared" si="1"/>
        <v>111</v>
      </c>
      <c r="B112" t="s">
        <v>501</v>
      </c>
      <c r="C112" t="s">
        <v>502</v>
      </c>
      <c r="D112" s="5">
        <v>0</v>
      </c>
      <c r="E112" s="10">
        <v>43015</v>
      </c>
    </row>
    <row r="113" spans="1:5" x14ac:dyDescent="0.35">
      <c r="A113">
        <f t="shared" si="1"/>
        <v>112</v>
      </c>
      <c r="B113" t="s">
        <v>501</v>
      </c>
      <c r="C113" t="s">
        <v>504</v>
      </c>
      <c r="D113" s="5">
        <v>0</v>
      </c>
      <c r="E113" s="10">
        <v>43015</v>
      </c>
    </row>
    <row r="114" spans="1:5" x14ac:dyDescent="0.35">
      <c r="A114">
        <f t="shared" si="1"/>
        <v>113</v>
      </c>
      <c r="B114" t="s">
        <v>499</v>
      </c>
      <c r="C114" t="s">
        <v>498</v>
      </c>
      <c r="D114" s="5">
        <v>0</v>
      </c>
      <c r="E114" s="10">
        <v>43016</v>
      </c>
    </row>
    <row r="115" spans="1:5" x14ac:dyDescent="0.35">
      <c r="A115">
        <f t="shared" si="1"/>
        <v>114</v>
      </c>
      <c r="B115" t="s">
        <v>499</v>
      </c>
      <c r="C115" t="s">
        <v>500</v>
      </c>
      <c r="D115" s="5">
        <v>1355</v>
      </c>
      <c r="E115" s="10">
        <v>43016</v>
      </c>
    </row>
    <row r="116" spans="1:5" x14ac:dyDescent="0.35">
      <c r="A116">
        <f t="shared" si="1"/>
        <v>115</v>
      </c>
      <c r="B116" t="s">
        <v>501</v>
      </c>
      <c r="C116" t="s">
        <v>502</v>
      </c>
      <c r="D116" s="5">
        <v>591</v>
      </c>
      <c r="E116" s="10">
        <v>43016</v>
      </c>
    </row>
    <row r="117" spans="1:5" x14ac:dyDescent="0.35">
      <c r="A117">
        <f t="shared" si="1"/>
        <v>116</v>
      </c>
      <c r="B117" t="s">
        <v>503</v>
      </c>
      <c r="C117" t="s">
        <v>502</v>
      </c>
      <c r="D117" s="5">
        <v>772</v>
      </c>
      <c r="E117" s="10">
        <v>43016</v>
      </c>
    </row>
    <row r="118" spans="1:5" x14ac:dyDescent="0.35">
      <c r="A118">
        <f t="shared" si="1"/>
        <v>117</v>
      </c>
      <c r="B118" t="s">
        <v>497</v>
      </c>
      <c r="C118" t="s">
        <v>500</v>
      </c>
      <c r="D118" s="5">
        <v>2271</v>
      </c>
      <c r="E118" s="10">
        <v>43016</v>
      </c>
    </row>
    <row r="119" spans="1:5" x14ac:dyDescent="0.35">
      <c r="A119">
        <f t="shared" si="1"/>
        <v>118</v>
      </c>
      <c r="B119" t="s">
        <v>501</v>
      </c>
      <c r="C119" t="s">
        <v>504</v>
      </c>
      <c r="D119" s="5">
        <v>763</v>
      </c>
      <c r="E119" s="10">
        <v>43016</v>
      </c>
    </row>
    <row r="120" spans="1:5" x14ac:dyDescent="0.35">
      <c r="A120">
        <f t="shared" si="1"/>
        <v>119</v>
      </c>
      <c r="B120" t="s">
        <v>503</v>
      </c>
      <c r="C120" t="s">
        <v>500</v>
      </c>
      <c r="D120" s="5">
        <v>1631</v>
      </c>
      <c r="E120" s="10">
        <v>43016</v>
      </c>
    </row>
    <row r="121" spans="1:5" x14ac:dyDescent="0.35">
      <c r="A121">
        <f t="shared" si="1"/>
        <v>120</v>
      </c>
      <c r="B121" t="s">
        <v>499</v>
      </c>
      <c r="C121" t="s">
        <v>502</v>
      </c>
      <c r="D121" s="5">
        <v>1003</v>
      </c>
      <c r="E121" s="10">
        <v>43016</v>
      </c>
    </row>
    <row r="122" spans="1:5" x14ac:dyDescent="0.35">
      <c r="A122">
        <f t="shared" si="1"/>
        <v>121</v>
      </c>
      <c r="B122" t="s">
        <v>503</v>
      </c>
      <c r="C122" t="s">
        <v>498</v>
      </c>
      <c r="D122" s="5">
        <v>718</v>
      </c>
      <c r="E122" s="10">
        <v>43016</v>
      </c>
    </row>
    <row r="123" spans="1:5" x14ac:dyDescent="0.35">
      <c r="A123">
        <f t="shared" si="1"/>
        <v>122</v>
      </c>
      <c r="B123" t="s">
        <v>497</v>
      </c>
      <c r="C123" t="s">
        <v>498</v>
      </c>
      <c r="D123" s="5">
        <v>1478</v>
      </c>
      <c r="E123" s="10">
        <v>43016</v>
      </c>
    </row>
    <row r="124" spans="1:5" x14ac:dyDescent="0.35">
      <c r="A124">
        <f t="shared" si="1"/>
        <v>123</v>
      </c>
      <c r="B124" t="s">
        <v>499</v>
      </c>
      <c r="C124" t="s">
        <v>504</v>
      </c>
      <c r="D124" s="5">
        <v>0</v>
      </c>
      <c r="E124" s="10">
        <v>43016</v>
      </c>
    </row>
    <row r="125" spans="1:5" x14ac:dyDescent="0.35">
      <c r="A125">
        <f t="shared" si="1"/>
        <v>124</v>
      </c>
      <c r="B125" t="s">
        <v>497</v>
      </c>
      <c r="C125" t="s">
        <v>502</v>
      </c>
      <c r="D125" s="5">
        <v>2008</v>
      </c>
      <c r="E125" s="10">
        <v>43016</v>
      </c>
    </row>
    <row r="126" spans="1:5" x14ac:dyDescent="0.35">
      <c r="A126">
        <f t="shared" si="1"/>
        <v>125</v>
      </c>
      <c r="B126" t="s">
        <v>497</v>
      </c>
      <c r="C126" t="s">
        <v>504</v>
      </c>
      <c r="D126" s="5">
        <v>1218</v>
      </c>
      <c r="E126" s="10">
        <v>43016</v>
      </c>
    </row>
    <row r="127" spans="1:5" x14ac:dyDescent="0.35">
      <c r="A127">
        <f t="shared" si="1"/>
        <v>126</v>
      </c>
      <c r="B127" t="s">
        <v>501</v>
      </c>
      <c r="C127" t="s">
        <v>498</v>
      </c>
      <c r="D127" s="5">
        <v>981</v>
      </c>
      <c r="E127" s="10">
        <v>43016</v>
      </c>
    </row>
    <row r="128" spans="1:5" x14ac:dyDescent="0.35">
      <c r="A128">
        <f t="shared" si="1"/>
        <v>127</v>
      </c>
      <c r="B128" t="s">
        <v>501</v>
      </c>
      <c r="C128" t="s">
        <v>500</v>
      </c>
      <c r="D128" s="5">
        <v>501</v>
      </c>
      <c r="E128" s="10">
        <v>43016</v>
      </c>
    </row>
    <row r="129" spans="1:5" x14ac:dyDescent="0.35">
      <c r="A129">
        <f t="shared" si="1"/>
        <v>128</v>
      </c>
      <c r="B129" t="s">
        <v>503</v>
      </c>
      <c r="C129" t="s">
        <v>504</v>
      </c>
      <c r="D129" s="5">
        <v>859</v>
      </c>
      <c r="E129" s="10">
        <v>43016</v>
      </c>
    </row>
    <row r="130" spans="1:5" x14ac:dyDescent="0.35">
      <c r="A130">
        <f t="shared" si="1"/>
        <v>129</v>
      </c>
      <c r="B130" t="s">
        <v>501</v>
      </c>
      <c r="C130" t="s">
        <v>500</v>
      </c>
      <c r="D130" s="5">
        <v>866</v>
      </c>
      <c r="E130" s="10">
        <v>43017</v>
      </c>
    </row>
    <row r="131" spans="1:5" x14ac:dyDescent="0.35">
      <c r="A131">
        <f t="shared" ref="A131:A194" si="2">A130+1</f>
        <v>130</v>
      </c>
      <c r="B131" t="s">
        <v>503</v>
      </c>
      <c r="C131" t="s">
        <v>498</v>
      </c>
      <c r="D131" s="5">
        <v>1944</v>
      </c>
      <c r="E131" s="10">
        <v>43017</v>
      </c>
    </row>
    <row r="132" spans="1:5" x14ac:dyDescent="0.35">
      <c r="A132">
        <f t="shared" si="2"/>
        <v>131</v>
      </c>
      <c r="B132" t="s">
        <v>499</v>
      </c>
      <c r="C132" t="s">
        <v>498</v>
      </c>
      <c r="D132" s="5">
        <v>0</v>
      </c>
      <c r="E132" s="10">
        <v>43017</v>
      </c>
    </row>
    <row r="133" spans="1:5" x14ac:dyDescent="0.35">
      <c r="A133">
        <f t="shared" si="2"/>
        <v>132</v>
      </c>
      <c r="B133" t="s">
        <v>497</v>
      </c>
      <c r="C133" t="s">
        <v>502</v>
      </c>
      <c r="D133" s="5">
        <v>893</v>
      </c>
      <c r="E133" s="10">
        <v>43017</v>
      </c>
    </row>
    <row r="134" spans="1:5" x14ac:dyDescent="0.35">
      <c r="A134">
        <f t="shared" si="2"/>
        <v>133</v>
      </c>
      <c r="B134" t="s">
        <v>497</v>
      </c>
      <c r="C134" t="s">
        <v>498</v>
      </c>
      <c r="D134" s="5">
        <v>0</v>
      </c>
      <c r="E134" s="10">
        <v>43017</v>
      </c>
    </row>
    <row r="135" spans="1:5" x14ac:dyDescent="0.35">
      <c r="A135">
        <f t="shared" si="2"/>
        <v>134</v>
      </c>
      <c r="B135" t="s">
        <v>501</v>
      </c>
      <c r="C135" t="s">
        <v>502</v>
      </c>
      <c r="D135" s="5">
        <v>970</v>
      </c>
      <c r="E135" s="10">
        <v>43017</v>
      </c>
    </row>
    <row r="136" spans="1:5" x14ac:dyDescent="0.35">
      <c r="A136">
        <f t="shared" si="2"/>
        <v>135</v>
      </c>
      <c r="B136" t="s">
        <v>501</v>
      </c>
      <c r="C136" t="s">
        <v>504</v>
      </c>
      <c r="D136" s="5">
        <v>640</v>
      </c>
      <c r="E136" s="10">
        <v>43017</v>
      </c>
    </row>
    <row r="137" spans="1:5" x14ac:dyDescent="0.35">
      <c r="A137">
        <f t="shared" si="2"/>
        <v>136</v>
      </c>
      <c r="B137" t="s">
        <v>499</v>
      </c>
      <c r="C137" t="s">
        <v>504</v>
      </c>
      <c r="D137" s="5">
        <v>1347</v>
      </c>
      <c r="E137" s="10">
        <v>43017</v>
      </c>
    </row>
    <row r="138" spans="1:5" x14ac:dyDescent="0.35">
      <c r="A138">
        <f t="shared" si="2"/>
        <v>137</v>
      </c>
      <c r="B138" t="s">
        <v>503</v>
      </c>
      <c r="C138" t="s">
        <v>502</v>
      </c>
      <c r="D138" s="5">
        <v>987</v>
      </c>
      <c r="E138" s="10">
        <v>43017</v>
      </c>
    </row>
    <row r="139" spans="1:5" x14ac:dyDescent="0.35">
      <c r="A139">
        <f t="shared" si="2"/>
        <v>138</v>
      </c>
      <c r="B139" t="s">
        <v>497</v>
      </c>
      <c r="C139" t="s">
        <v>500</v>
      </c>
      <c r="D139" s="5">
        <v>1960</v>
      </c>
      <c r="E139" s="10">
        <v>43017</v>
      </c>
    </row>
    <row r="140" spans="1:5" x14ac:dyDescent="0.35">
      <c r="A140">
        <f t="shared" si="2"/>
        <v>139</v>
      </c>
      <c r="B140" t="s">
        <v>497</v>
      </c>
      <c r="C140" t="s">
        <v>504</v>
      </c>
      <c r="D140" s="5">
        <v>0</v>
      </c>
      <c r="E140" s="10">
        <v>43017</v>
      </c>
    </row>
    <row r="141" spans="1:5" x14ac:dyDescent="0.35">
      <c r="A141">
        <f t="shared" si="2"/>
        <v>140</v>
      </c>
      <c r="B141" t="s">
        <v>503</v>
      </c>
      <c r="C141" t="s">
        <v>500</v>
      </c>
      <c r="D141" s="5">
        <v>1703</v>
      </c>
      <c r="E141" s="10">
        <v>43017</v>
      </c>
    </row>
    <row r="142" spans="1:5" x14ac:dyDescent="0.35">
      <c r="A142">
        <f t="shared" si="2"/>
        <v>141</v>
      </c>
      <c r="B142" t="s">
        <v>499</v>
      </c>
      <c r="C142" t="s">
        <v>502</v>
      </c>
      <c r="D142" s="5">
        <v>1368</v>
      </c>
      <c r="E142" s="10">
        <v>43017</v>
      </c>
    </row>
    <row r="143" spans="1:5" x14ac:dyDescent="0.35">
      <c r="A143">
        <f t="shared" si="2"/>
        <v>142</v>
      </c>
      <c r="B143" t="s">
        <v>503</v>
      </c>
      <c r="C143" t="s">
        <v>504</v>
      </c>
      <c r="D143" s="5">
        <v>989</v>
      </c>
      <c r="E143" s="10">
        <v>43017</v>
      </c>
    </row>
    <row r="144" spans="1:5" x14ac:dyDescent="0.35">
      <c r="A144">
        <f t="shared" si="2"/>
        <v>143</v>
      </c>
      <c r="B144" t="s">
        <v>499</v>
      </c>
      <c r="C144" t="s">
        <v>500</v>
      </c>
      <c r="D144" s="5">
        <v>1345</v>
      </c>
      <c r="E144" s="10">
        <v>43017</v>
      </c>
    </row>
    <row r="145" spans="1:5" x14ac:dyDescent="0.35">
      <c r="A145">
        <f t="shared" si="2"/>
        <v>144</v>
      </c>
      <c r="B145" t="s">
        <v>501</v>
      </c>
      <c r="C145" t="s">
        <v>498</v>
      </c>
      <c r="D145" s="5">
        <v>0</v>
      </c>
      <c r="E145" s="10">
        <v>43017</v>
      </c>
    </row>
    <row r="146" spans="1:5" x14ac:dyDescent="0.35">
      <c r="A146">
        <f t="shared" si="2"/>
        <v>145</v>
      </c>
      <c r="B146" t="s">
        <v>503</v>
      </c>
      <c r="C146" t="s">
        <v>502</v>
      </c>
      <c r="D146" s="5">
        <v>1732</v>
      </c>
      <c r="E146" s="10">
        <v>43018</v>
      </c>
    </row>
    <row r="147" spans="1:5" x14ac:dyDescent="0.35">
      <c r="A147">
        <f t="shared" si="2"/>
        <v>146</v>
      </c>
      <c r="B147" t="s">
        <v>501</v>
      </c>
      <c r="C147" t="s">
        <v>500</v>
      </c>
      <c r="D147" s="5">
        <v>987</v>
      </c>
      <c r="E147" s="10">
        <v>43018</v>
      </c>
    </row>
    <row r="148" spans="1:5" x14ac:dyDescent="0.35">
      <c r="A148">
        <f t="shared" si="2"/>
        <v>147</v>
      </c>
      <c r="B148" t="s">
        <v>497</v>
      </c>
      <c r="C148" t="s">
        <v>502</v>
      </c>
      <c r="D148" s="5">
        <v>0</v>
      </c>
      <c r="E148" s="10">
        <v>43018</v>
      </c>
    </row>
    <row r="149" spans="1:5" x14ac:dyDescent="0.35">
      <c r="A149">
        <f t="shared" si="2"/>
        <v>148</v>
      </c>
      <c r="B149" t="s">
        <v>501</v>
      </c>
      <c r="C149" t="s">
        <v>498</v>
      </c>
      <c r="D149" s="5">
        <v>725</v>
      </c>
      <c r="E149" s="10">
        <v>43018</v>
      </c>
    </row>
    <row r="150" spans="1:5" x14ac:dyDescent="0.35">
      <c r="A150">
        <f t="shared" si="2"/>
        <v>149</v>
      </c>
      <c r="B150" t="s">
        <v>497</v>
      </c>
      <c r="C150" t="s">
        <v>498</v>
      </c>
      <c r="D150" s="5">
        <v>1954</v>
      </c>
      <c r="E150" s="10">
        <v>43018</v>
      </c>
    </row>
    <row r="151" spans="1:5" x14ac:dyDescent="0.35">
      <c r="A151">
        <f t="shared" si="2"/>
        <v>150</v>
      </c>
      <c r="B151" t="s">
        <v>497</v>
      </c>
      <c r="C151" t="s">
        <v>504</v>
      </c>
      <c r="D151" s="5">
        <v>2259</v>
      </c>
      <c r="E151" s="10">
        <v>43018</v>
      </c>
    </row>
    <row r="152" spans="1:5" x14ac:dyDescent="0.35">
      <c r="A152">
        <f t="shared" si="2"/>
        <v>151</v>
      </c>
      <c r="B152" t="s">
        <v>501</v>
      </c>
      <c r="C152" t="s">
        <v>502</v>
      </c>
      <c r="D152" s="5">
        <v>725</v>
      </c>
      <c r="E152" s="10">
        <v>43018</v>
      </c>
    </row>
    <row r="153" spans="1:5" x14ac:dyDescent="0.35">
      <c r="A153">
        <f t="shared" si="2"/>
        <v>152</v>
      </c>
      <c r="B153" t="s">
        <v>503</v>
      </c>
      <c r="C153" t="s">
        <v>498</v>
      </c>
      <c r="D153" s="5">
        <v>667</v>
      </c>
      <c r="E153" s="10">
        <v>43018</v>
      </c>
    </row>
    <row r="154" spans="1:5" x14ac:dyDescent="0.35">
      <c r="A154">
        <f t="shared" si="2"/>
        <v>153</v>
      </c>
      <c r="B154" t="s">
        <v>503</v>
      </c>
      <c r="C154" t="s">
        <v>500</v>
      </c>
      <c r="D154" s="5">
        <v>1545</v>
      </c>
      <c r="E154" s="10">
        <v>43018</v>
      </c>
    </row>
    <row r="155" spans="1:5" x14ac:dyDescent="0.35">
      <c r="A155">
        <f t="shared" si="2"/>
        <v>154</v>
      </c>
      <c r="B155" t="s">
        <v>499</v>
      </c>
      <c r="C155" t="s">
        <v>500</v>
      </c>
      <c r="D155" s="5">
        <v>1040</v>
      </c>
      <c r="E155" s="10">
        <v>43018</v>
      </c>
    </row>
    <row r="156" spans="1:5" x14ac:dyDescent="0.35">
      <c r="A156">
        <f t="shared" si="2"/>
        <v>155</v>
      </c>
      <c r="B156" t="s">
        <v>501</v>
      </c>
      <c r="C156" t="s">
        <v>504</v>
      </c>
      <c r="D156" s="5">
        <v>0</v>
      </c>
      <c r="E156" s="10">
        <v>43018</v>
      </c>
    </row>
    <row r="157" spans="1:5" x14ac:dyDescent="0.35">
      <c r="A157">
        <f t="shared" si="2"/>
        <v>156</v>
      </c>
      <c r="B157" t="s">
        <v>497</v>
      </c>
      <c r="C157" t="s">
        <v>500</v>
      </c>
      <c r="D157" s="5">
        <v>1870</v>
      </c>
      <c r="E157" s="10">
        <v>43018</v>
      </c>
    </row>
    <row r="158" spans="1:5" x14ac:dyDescent="0.35">
      <c r="A158">
        <f t="shared" si="2"/>
        <v>157</v>
      </c>
      <c r="B158" t="s">
        <v>503</v>
      </c>
      <c r="C158" t="s">
        <v>504</v>
      </c>
      <c r="D158" s="5">
        <v>1069</v>
      </c>
      <c r="E158" s="10">
        <v>43018</v>
      </c>
    </row>
    <row r="159" spans="1:5" x14ac:dyDescent="0.35">
      <c r="A159">
        <f t="shared" si="2"/>
        <v>158</v>
      </c>
      <c r="B159" t="s">
        <v>499</v>
      </c>
      <c r="C159" t="s">
        <v>504</v>
      </c>
      <c r="D159" s="5">
        <v>1098</v>
      </c>
      <c r="E159" s="10">
        <v>43018</v>
      </c>
    </row>
    <row r="160" spans="1:5" x14ac:dyDescent="0.35">
      <c r="A160">
        <f t="shared" si="2"/>
        <v>159</v>
      </c>
      <c r="B160" t="s">
        <v>499</v>
      </c>
      <c r="C160" t="s">
        <v>498</v>
      </c>
      <c r="D160" s="5">
        <v>1140</v>
      </c>
      <c r="E160" s="10">
        <v>43018</v>
      </c>
    </row>
    <row r="161" spans="1:5" x14ac:dyDescent="0.35">
      <c r="A161">
        <f t="shared" si="2"/>
        <v>160</v>
      </c>
      <c r="B161" t="s">
        <v>499</v>
      </c>
      <c r="C161" t="s">
        <v>502</v>
      </c>
      <c r="D161" s="5">
        <v>951</v>
      </c>
      <c r="E161" s="10">
        <v>43018</v>
      </c>
    </row>
    <row r="162" spans="1:5" x14ac:dyDescent="0.35">
      <c r="A162">
        <f t="shared" si="2"/>
        <v>161</v>
      </c>
      <c r="B162" t="s">
        <v>503</v>
      </c>
      <c r="C162" t="s">
        <v>500</v>
      </c>
      <c r="D162" s="5">
        <v>811</v>
      </c>
      <c r="E162" s="10">
        <v>43019</v>
      </c>
    </row>
    <row r="163" spans="1:5" x14ac:dyDescent="0.35">
      <c r="A163">
        <f t="shared" si="2"/>
        <v>162</v>
      </c>
      <c r="B163" t="s">
        <v>497</v>
      </c>
      <c r="C163" t="s">
        <v>504</v>
      </c>
      <c r="D163" s="5">
        <v>1326</v>
      </c>
      <c r="E163" s="10">
        <v>43019</v>
      </c>
    </row>
    <row r="164" spans="1:5" x14ac:dyDescent="0.35">
      <c r="A164">
        <f t="shared" si="2"/>
        <v>163</v>
      </c>
      <c r="B164" t="s">
        <v>499</v>
      </c>
      <c r="C164" t="s">
        <v>504</v>
      </c>
      <c r="D164" s="5">
        <v>0</v>
      </c>
      <c r="E164" s="10">
        <v>43019</v>
      </c>
    </row>
    <row r="165" spans="1:5" x14ac:dyDescent="0.35">
      <c r="A165">
        <f t="shared" si="2"/>
        <v>164</v>
      </c>
      <c r="B165" t="s">
        <v>501</v>
      </c>
      <c r="C165" t="s">
        <v>498</v>
      </c>
      <c r="D165" s="5">
        <v>999</v>
      </c>
      <c r="E165" s="10">
        <v>43019</v>
      </c>
    </row>
    <row r="166" spans="1:5" x14ac:dyDescent="0.35">
      <c r="A166">
        <f t="shared" si="2"/>
        <v>165</v>
      </c>
      <c r="B166" t="s">
        <v>503</v>
      </c>
      <c r="C166" t="s">
        <v>498</v>
      </c>
      <c r="D166" s="5">
        <v>1419</v>
      </c>
      <c r="E166" s="10">
        <v>43019</v>
      </c>
    </row>
    <row r="167" spans="1:5" x14ac:dyDescent="0.35">
      <c r="A167">
        <f t="shared" si="2"/>
        <v>166</v>
      </c>
      <c r="B167" t="s">
        <v>499</v>
      </c>
      <c r="C167" t="s">
        <v>502</v>
      </c>
      <c r="D167" s="5">
        <v>0</v>
      </c>
      <c r="E167" s="10">
        <v>43019</v>
      </c>
    </row>
    <row r="168" spans="1:5" x14ac:dyDescent="0.35">
      <c r="A168">
        <f t="shared" si="2"/>
        <v>167</v>
      </c>
      <c r="B168" t="s">
        <v>497</v>
      </c>
      <c r="C168" t="s">
        <v>498</v>
      </c>
      <c r="D168" s="5">
        <v>1198</v>
      </c>
      <c r="E168" s="10">
        <v>43019</v>
      </c>
    </row>
    <row r="169" spans="1:5" x14ac:dyDescent="0.35">
      <c r="A169">
        <f t="shared" si="2"/>
        <v>168</v>
      </c>
      <c r="B169" t="s">
        <v>501</v>
      </c>
      <c r="C169" t="s">
        <v>502</v>
      </c>
      <c r="D169" s="5">
        <v>776</v>
      </c>
      <c r="E169" s="10">
        <v>43019</v>
      </c>
    </row>
    <row r="170" spans="1:5" x14ac:dyDescent="0.35">
      <c r="A170">
        <f t="shared" si="2"/>
        <v>169</v>
      </c>
      <c r="B170" t="s">
        <v>501</v>
      </c>
      <c r="C170" t="s">
        <v>504</v>
      </c>
      <c r="D170" s="5">
        <v>675</v>
      </c>
      <c r="E170" s="10">
        <v>43019</v>
      </c>
    </row>
    <row r="171" spans="1:5" x14ac:dyDescent="0.35">
      <c r="A171">
        <f t="shared" si="2"/>
        <v>170</v>
      </c>
      <c r="B171" t="s">
        <v>497</v>
      </c>
      <c r="C171" t="s">
        <v>502</v>
      </c>
      <c r="D171" s="5">
        <v>0</v>
      </c>
      <c r="E171" s="10">
        <v>43019</v>
      </c>
    </row>
    <row r="172" spans="1:5" x14ac:dyDescent="0.35">
      <c r="A172">
        <f t="shared" si="2"/>
        <v>171</v>
      </c>
      <c r="B172" t="s">
        <v>503</v>
      </c>
      <c r="C172" t="s">
        <v>502</v>
      </c>
      <c r="D172" s="5">
        <v>1635</v>
      </c>
      <c r="E172" s="10">
        <v>43019</v>
      </c>
    </row>
    <row r="173" spans="1:5" x14ac:dyDescent="0.35">
      <c r="A173">
        <f t="shared" si="2"/>
        <v>172</v>
      </c>
      <c r="B173" t="s">
        <v>499</v>
      </c>
      <c r="C173" t="s">
        <v>500</v>
      </c>
      <c r="D173" s="5">
        <v>1306</v>
      </c>
      <c r="E173" s="10">
        <v>43019</v>
      </c>
    </row>
    <row r="174" spans="1:5" x14ac:dyDescent="0.35">
      <c r="A174">
        <f t="shared" si="2"/>
        <v>173</v>
      </c>
      <c r="B174" t="s">
        <v>497</v>
      </c>
      <c r="C174" t="s">
        <v>500</v>
      </c>
      <c r="D174" s="5">
        <v>1930</v>
      </c>
      <c r="E174" s="10">
        <v>43019</v>
      </c>
    </row>
    <row r="175" spans="1:5" x14ac:dyDescent="0.35">
      <c r="A175">
        <f t="shared" si="2"/>
        <v>174</v>
      </c>
      <c r="B175" t="s">
        <v>501</v>
      </c>
      <c r="C175" t="s">
        <v>500</v>
      </c>
      <c r="D175" s="5">
        <v>842</v>
      </c>
      <c r="E175" s="10">
        <v>43019</v>
      </c>
    </row>
    <row r="176" spans="1:5" x14ac:dyDescent="0.35">
      <c r="A176">
        <f t="shared" si="2"/>
        <v>175</v>
      </c>
      <c r="B176" t="s">
        <v>499</v>
      </c>
      <c r="C176" t="s">
        <v>498</v>
      </c>
      <c r="D176" s="5">
        <v>1382</v>
      </c>
      <c r="E176" s="10">
        <v>43019</v>
      </c>
    </row>
    <row r="177" spans="1:5" x14ac:dyDescent="0.35">
      <c r="A177">
        <f t="shared" si="2"/>
        <v>176</v>
      </c>
      <c r="B177" t="s">
        <v>503</v>
      </c>
      <c r="C177" t="s">
        <v>504</v>
      </c>
      <c r="D177" s="5">
        <v>1375</v>
      </c>
      <c r="E177" s="10">
        <v>43019</v>
      </c>
    </row>
    <row r="178" spans="1:5" x14ac:dyDescent="0.35">
      <c r="A178">
        <f t="shared" si="2"/>
        <v>177</v>
      </c>
      <c r="B178" t="s">
        <v>499</v>
      </c>
      <c r="C178" t="s">
        <v>502</v>
      </c>
      <c r="D178" s="5">
        <v>0</v>
      </c>
      <c r="E178" s="10">
        <v>43020</v>
      </c>
    </row>
    <row r="179" spans="1:5" x14ac:dyDescent="0.35">
      <c r="A179">
        <f t="shared" si="2"/>
        <v>178</v>
      </c>
      <c r="B179" t="s">
        <v>499</v>
      </c>
      <c r="C179" t="s">
        <v>504</v>
      </c>
      <c r="D179" s="5">
        <v>1447</v>
      </c>
      <c r="E179" s="10">
        <v>43020</v>
      </c>
    </row>
    <row r="180" spans="1:5" x14ac:dyDescent="0.35">
      <c r="A180">
        <f t="shared" si="2"/>
        <v>179</v>
      </c>
      <c r="B180" t="s">
        <v>503</v>
      </c>
      <c r="C180" t="s">
        <v>502</v>
      </c>
      <c r="D180" s="5">
        <v>1973</v>
      </c>
      <c r="E180" s="10">
        <v>43020</v>
      </c>
    </row>
    <row r="181" spans="1:5" x14ac:dyDescent="0.35">
      <c r="A181">
        <f t="shared" si="2"/>
        <v>180</v>
      </c>
      <c r="B181" t="s">
        <v>501</v>
      </c>
      <c r="C181" t="s">
        <v>502</v>
      </c>
      <c r="D181" s="5">
        <v>500</v>
      </c>
      <c r="E181" s="10">
        <v>43020</v>
      </c>
    </row>
    <row r="182" spans="1:5" x14ac:dyDescent="0.35">
      <c r="A182">
        <f t="shared" si="2"/>
        <v>181</v>
      </c>
      <c r="B182" t="s">
        <v>497</v>
      </c>
      <c r="C182" t="s">
        <v>500</v>
      </c>
      <c r="D182" s="5">
        <v>0</v>
      </c>
      <c r="E182" s="10">
        <v>43020</v>
      </c>
    </row>
    <row r="183" spans="1:5" x14ac:dyDescent="0.35">
      <c r="A183">
        <f t="shared" si="2"/>
        <v>182</v>
      </c>
      <c r="B183" t="s">
        <v>499</v>
      </c>
      <c r="C183" t="s">
        <v>498</v>
      </c>
      <c r="D183" s="5">
        <v>914</v>
      </c>
      <c r="E183" s="10">
        <v>43020</v>
      </c>
    </row>
    <row r="184" spans="1:5" x14ac:dyDescent="0.35">
      <c r="A184">
        <f t="shared" si="2"/>
        <v>183</v>
      </c>
      <c r="B184" t="s">
        <v>497</v>
      </c>
      <c r="C184" t="s">
        <v>502</v>
      </c>
      <c r="D184" s="5">
        <v>1878</v>
      </c>
      <c r="E184" s="10">
        <v>43020</v>
      </c>
    </row>
    <row r="185" spans="1:5" x14ac:dyDescent="0.35">
      <c r="A185">
        <f t="shared" si="2"/>
        <v>184</v>
      </c>
      <c r="B185" t="s">
        <v>499</v>
      </c>
      <c r="C185" t="s">
        <v>500</v>
      </c>
      <c r="D185" s="5">
        <v>1445</v>
      </c>
      <c r="E185" s="10">
        <v>43020</v>
      </c>
    </row>
    <row r="186" spans="1:5" x14ac:dyDescent="0.35">
      <c r="A186">
        <f t="shared" si="2"/>
        <v>185</v>
      </c>
      <c r="B186" t="s">
        <v>501</v>
      </c>
      <c r="C186" t="s">
        <v>500</v>
      </c>
      <c r="D186" s="5">
        <v>688</v>
      </c>
      <c r="E186" s="10">
        <v>43020</v>
      </c>
    </row>
    <row r="187" spans="1:5" x14ac:dyDescent="0.35">
      <c r="A187">
        <f t="shared" si="2"/>
        <v>186</v>
      </c>
      <c r="B187" t="s">
        <v>501</v>
      </c>
      <c r="C187" t="s">
        <v>504</v>
      </c>
      <c r="D187" s="5">
        <v>743</v>
      </c>
      <c r="E187" s="10">
        <v>43020</v>
      </c>
    </row>
    <row r="188" spans="1:5" x14ac:dyDescent="0.35">
      <c r="A188">
        <f t="shared" si="2"/>
        <v>187</v>
      </c>
      <c r="B188" t="s">
        <v>503</v>
      </c>
      <c r="C188" t="s">
        <v>500</v>
      </c>
      <c r="D188" s="5">
        <v>1066</v>
      </c>
      <c r="E188" s="10">
        <v>43020</v>
      </c>
    </row>
    <row r="189" spans="1:5" x14ac:dyDescent="0.35">
      <c r="A189">
        <f t="shared" si="2"/>
        <v>188</v>
      </c>
      <c r="B189" t="s">
        <v>503</v>
      </c>
      <c r="C189" t="s">
        <v>498</v>
      </c>
      <c r="D189" s="5">
        <v>925</v>
      </c>
      <c r="E189" s="10">
        <v>43020</v>
      </c>
    </row>
    <row r="190" spans="1:5" x14ac:dyDescent="0.35">
      <c r="A190">
        <f t="shared" si="2"/>
        <v>189</v>
      </c>
      <c r="B190" t="s">
        <v>501</v>
      </c>
      <c r="C190" t="s">
        <v>498</v>
      </c>
      <c r="D190" s="5">
        <v>789</v>
      </c>
      <c r="E190" s="10">
        <v>43020</v>
      </c>
    </row>
    <row r="191" spans="1:5" x14ac:dyDescent="0.35">
      <c r="A191">
        <f t="shared" si="2"/>
        <v>190</v>
      </c>
      <c r="B191" t="s">
        <v>503</v>
      </c>
      <c r="C191" t="s">
        <v>504</v>
      </c>
      <c r="D191" s="5">
        <v>0</v>
      </c>
      <c r="E191" s="10">
        <v>43020</v>
      </c>
    </row>
    <row r="192" spans="1:5" x14ac:dyDescent="0.35">
      <c r="A192">
        <f t="shared" si="2"/>
        <v>191</v>
      </c>
      <c r="B192" t="s">
        <v>497</v>
      </c>
      <c r="C192" t="s">
        <v>504</v>
      </c>
      <c r="D192" s="5">
        <v>2500</v>
      </c>
      <c r="E192" s="10">
        <v>43020</v>
      </c>
    </row>
    <row r="193" spans="1:5" x14ac:dyDescent="0.35">
      <c r="A193">
        <f t="shared" si="2"/>
        <v>192</v>
      </c>
      <c r="B193" t="s">
        <v>497</v>
      </c>
      <c r="C193" t="s">
        <v>498</v>
      </c>
      <c r="D193" s="5">
        <v>1700</v>
      </c>
      <c r="E193" s="10">
        <v>43020</v>
      </c>
    </row>
    <row r="194" spans="1:5" x14ac:dyDescent="0.35">
      <c r="A194">
        <f t="shared" si="2"/>
        <v>193</v>
      </c>
      <c r="B194" t="s">
        <v>501</v>
      </c>
      <c r="C194" t="s">
        <v>504</v>
      </c>
      <c r="D194" s="5">
        <v>586</v>
      </c>
      <c r="E194" s="10">
        <v>43021</v>
      </c>
    </row>
    <row r="195" spans="1:5" x14ac:dyDescent="0.35">
      <c r="A195">
        <f t="shared" ref="A195:A258" si="3">A194+1</f>
        <v>194</v>
      </c>
      <c r="B195" t="s">
        <v>503</v>
      </c>
      <c r="C195" t="s">
        <v>500</v>
      </c>
      <c r="D195" s="5">
        <v>0</v>
      </c>
      <c r="E195" s="10">
        <v>43021</v>
      </c>
    </row>
    <row r="196" spans="1:5" x14ac:dyDescent="0.35">
      <c r="A196">
        <f t="shared" si="3"/>
        <v>195</v>
      </c>
      <c r="B196" t="s">
        <v>503</v>
      </c>
      <c r="C196" t="s">
        <v>502</v>
      </c>
      <c r="D196" s="5">
        <v>0</v>
      </c>
      <c r="E196" s="10">
        <v>43021</v>
      </c>
    </row>
    <row r="197" spans="1:5" x14ac:dyDescent="0.35">
      <c r="A197">
        <f t="shared" si="3"/>
        <v>196</v>
      </c>
      <c r="B197" t="s">
        <v>499</v>
      </c>
      <c r="C197" t="s">
        <v>504</v>
      </c>
      <c r="D197" s="5">
        <v>1103</v>
      </c>
      <c r="E197" s="10">
        <v>43021</v>
      </c>
    </row>
    <row r="198" spans="1:5" x14ac:dyDescent="0.35">
      <c r="A198">
        <f t="shared" si="3"/>
        <v>197</v>
      </c>
      <c r="B198" t="s">
        <v>501</v>
      </c>
      <c r="C198" t="s">
        <v>502</v>
      </c>
      <c r="D198" s="5">
        <v>0</v>
      </c>
      <c r="E198" s="10">
        <v>43021</v>
      </c>
    </row>
    <row r="199" spans="1:5" x14ac:dyDescent="0.35">
      <c r="A199">
        <f t="shared" si="3"/>
        <v>198</v>
      </c>
      <c r="B199" t="s">
        <v>501</v>
      </c>
      <c r="C199" t="s">
        <v>500</v>
      </c>
      <c r="D199" s="5">
        <v>0</v>
      </c>
      <c r="E199" s="10">
        <v>43021</v>
      </c>
    </row>
    <row r="200" spans="1:5" x14ac:dyDescent="0.35">
      <c r="A200">
        <f t="shared" si="3"/>
        <v>199</v>
      </c>
      <c r="B200" t="s">
        <v>503</v>
      </c>
      <c r="C200" t="s">
        <v>504</v>
      </c>
      <c r="D200" s="5">
        <v>1693</v>
      </c>
      <c r="E200" s="10">
        <v>43021</v>
      </c>
    </row>
    <row r="201" spans="1:5" x14ac:dyDescent="0.35">
      <c r="A201">
        <f t="shared" si="3"/>
        <v>200</v>
      </c>
      <c r="B201" t="s">
        <v>499</v>
      </c>
      <c r="C201" t="s">
        <v>500</v>
      </c>
      <c r="D201" s="5">
        <v>1454</v>
      </c>
      <c r="E201" s="10">
        <v>43021</v>
      </c>
    </row>
    <row r="202" spans="1:5" x14ac:dyDescent="0.35">
      <c r="A202">
        <f t="shared" si="3"/>
        <v>201</v>
      </c>
      <c r="B202" t="s">
        <v>501</v>
      </c>
      <c r="C202" t="s">
        <v>498</v>
      </c>
      <c r="D202" s="5">
        <v>922</v>
      </c>
      <c r="E202" s="10">
        <v>43021</v>
      </c>
    </row>
    <row r="203" spans="1:5" x14ac:dyDescent="0.35">
      <c r="A203">
        <f t="shared" si="3"/>
        <v>202</v>
      </c>
      <c r="B203" t="s">
        <v>499</v>
      </c>
      <c r="C203" t="s">
        <v>502</v>
      </c>
      <c r="D203" s="5">
        <v>1143</v>
      </c>
      <c r="E203" s="10">
        <v>43021</v>
      </c>
    </row>
    <row r="204" spans="1:5" x14ac:dyDescent="0.35">
      <c r="A204">
        <f t="shared" si="3"/>
        <v>203</v>
      </c>
      <c r="B204" t="s">
        <v>497</v>
      </c>
      <c r="C204" t="s">
        <v>498</v>
      </c>
      <c r="D204" s="5">
        <v>1349</v>
      </c>
      <c r="E204" s="10">
        <v>43021</v>
      </c>
    </row>
    <row r="205" spans="1:5" x14ac:dyDescent="0.35">
      <c r="A205">
        <f t="shared" si="3"/>
        <v>204</v>
      </c>
      <c r="B205" t="s">
        <v>497</v>
      </c>
      <c r="C205" t="s">
        <v>500</v>
      </c>
      <c r="D205" s="5">
        <v>1573</v>
      </c>
      <c r="E205" s="10">
        <v>43021</v>
      </c>
    </row>
    <row r="206" spans="1:5" x14ac:dyDescent="0.35">
      <c r="A206">
        <f t="shared" si="3"/>
        <v>205</v>
      </c>
      <c r="B206" t="s">
        <v>499</v>
      </c>
      <c r="C206" t="s">
        <v>498</v>
      </c>
      <c r="D206" s="5">
        <v>0</v>
      </c>
      <c r="E206" s="10">
        <v>43021</v>
      </c>
    </row>
    <row r="207" spans="1:5" x14ac:dyDescent="0.35">
      <c r="A207">
        <f t="shared" si="3"/>
        <v>206</v>
      </c>
      <c r="B207" t="s">
        <v>497</v>
      </c>
      <c r="C207" t="s">
        <v>502</v>
      </c>
      <c r="D207" s="5">
        <v>1546</v>
      </c>
      <c r="E207" s="10">
        <v>43021</v>
      </c>
    </row>
    <row r="208" spans="1:5" x14ac:dyDescent="0.35">
      <c r="A208">
        <f t="shared" si="3"/>
        <v>207</v>
      </c>
      <c r="B208" t="s">
        <v>503</v>
      </c>
      <c r="C208" t="s">
        <v>498</v>
      </c>
      <c r="D208" s="5">
        <v>0</v>
      </c>
      <c r="E208" s="10">
        <v>43021</v>
      </c>
    </row>
    <row r="209" spans="1:5" x14ac:dyDescent="0.35">
      <c r="A209">
        <f t="shared" si="3"/>
        <v>208</v>
      </c>
      <c r="B209" t="s">
        <v>497</v>
      </c>
      <c r="C209" t="s">
        <v>504</v>
      </c>
      <c r="D209" s="5">
        <v>1045</v>
      </c>
      <c r="E209" s="10">
        <v>43021</v>
      </c>
    </row>
    <row r="210" spans="1:5" x14ac:dyDescent="0.35">
      <c r="A210">
        <f t="shared" si="3"/>
        <v>209</v>
      </c>
      <c r="B210" t="s">
        <v>503</v>
      </c>
      <c r="C210" t="s">
        <v>502</v>
      </c>
      <c r="D210" s="5">
        <v>808</v>
      </c>
      <c r="E210" s="10">
        <v>43022</v>
      </c>
    </row>
    <row r="211" spans="1:5" x14ac:dyDescent="0.35">
      <c r="A211">
        <f t="shared" si="3"/>
        <v>210</v>
      </c>
      <c r="B211" t="s">
        <v>497</v>
      </c>
      <c r="C211" t="s">
        <v>498</v>
      </c>
      <c r="D211" s="5">
        <v>1771</v>
      </c>
      <c r="E211" s="10">
        <v>43022</v>
      </c>
    </row>
    <row r="212" spans="1:5" x14ac:dyDescent="0.35">
      <c r="A212">
        <f t="shared" si="3"/>
        <v>211</v>
      </c>
      <c r="B212" t="s">
        <v>501</v>
      </c>
      <c r="C212" t="s">
        <v>502</v>
      </c>
      <c r="D212" s="5">
        <v>0</v>
      </c>
      <c r="E212" s="10">
        <v>43022</v>
      </c>
    </row>
    <row r="213" spans="1:5" x14ac:dyDescent="0.35">
      <c r="A213">
        <f t="shared" si="3"/>
        <v>212</v>
      </c>
      <c r="B213" t="s">
        <v>503</v>
      </c>
      <c r="C213" t="s">
        <v>504</v>
      </c>
      <c r="D213" s="5">
        <v>1671</v>
      </c>
      <c r="E213" s="10">
        <v>43022</v>
      </c>
    </row>
    <row r="214" spans="1:5" x14ac:dyDescent="0.35">
      <c r="A214">
        <f t="shared" si="3"/>
        <v>213</v>
      </c>
      <c r="B214" t="s">
        <v>499</v>
      </c>
      <c r="C214" t="s">
        <v>502</v>
      </c>
      <c r="D214" s="5">
        <v>0</v>
      </c>
      <c r="E214" s="10">
        <v>43022</v>
      </c>
    </row>
    <row r="215" spans="1:5" x14ac:dyDescent="0.35">
      <c r="A215">
        <f t="shared" si="3"/>
        <v>214</v>
      </c>
      <c r="B215" t="s">
        <v>501</v>
      </c>
      <c r="C215" t="s">
        <v>504</v>
      </c>
      <c r="D215" s="5">
        <v>552</v>
      </c>
      <c r="E215" s="10">
        <v>43022</v>
      </c>
    </row>
    <row r="216" spans="1:5" x14ac:dyDescent="0.35">
      <c r="A216">
        <f t="shared" si="3"/>
        <v>215</v>
      </c>
      <c r="B216" t="s">
        <v>499</v>
      </c>
      <c r="C216" t="s">
        <v>504</v>
      </c>
      <c r="D216" s="5">
        <v>1236</v>
      </c>
      <c r="E216" s="10">
        <v>43022</v>
      </c>
    </row>
    <row r="217" spans="1:5" x14ac:dyDescent="0.35">
      <c r="A217">
        <f t="shared" si="3"/>
        <v>216</v>
      </c>
      <c r="B217" t="s">
        <v>497</v>
      </c>
      <c r="C217" t="s">
        <v>502</v>
      </c>
      <c r="D217" s="5">
        <v>2331</v>
      </c>
      <c r="E217" s="10">
        <v>43022</v>
      </c>
    </row>
    <row r="218" spans="1:5" x14ac:dyDescent="0.35">
      <c r="A218">
        <f t="shared" si="3"/>
        <v>217</v>
      </c>
      <c r="B218" t="s">
        <v>497</v>
      </c>
      <c r="C218" t="s">
        <v>500</v>
      </c>
      <c r="D218" s="5">
        <v>1110</v>
      </c>
      <c r="E218" s="10">
        <v>43022</v>
      </c>
    </row>
    <row r="219" spans="1:5" x14ac:dyDescent="0.35">
      <c r="A219">
        <f t="shared" si="3"/>
        <v>218</v>
      </c>
      <c r="B219" t="s">
        <v>503</v>
      </c>
      <c r="C219" t="s">
        <v>500</v>
      </c>
      <c r="D219" s="5">
        <v>962</v>
      </c>
      <c r="E219" s="10">
        <v>43022</v>
      </c>
    </row>
    <row r="220" spans="1:5" x14ac:dyDescent="0.35">
      <c r="A220">
        <f t="shared" si="3"/>
        <v>219</v>
      </c>
      <c r="B220" t="s">
        <v>501</v>
      </c>
      <c r="C220" t="s">
        <v>498</v>
      </c>
      <c r="D220" s="5">
        <v>621</v>
      </c>
      <c r="E220" s="10">
        <v>43022</v>
      </c>
    </row>
    <row r="221" spans="1:5" x14ac:dyDescent="0.35">
      <c r="A221">
        <f t="shared" si="3"/>
        <v>220</v>
      </c>
      <c r="B221" t="s">
        <v>497</v>
      </c>
      <c r="C221" t="s">
        <v>504</v>
      </c>
      <c r="D221" s="5">
        <v>2209</v>
      </c>
      <c r="E221" s="10">
        <v>43022</v>
      </c>
    </row>
    <row r="222" spans="1:5" x14ac:dyDescent="0.35">
      <c r="A222">
        <f t="shared" si="3"/>
        <v>221</v>
      </c>
      <c r="B222" t="s">
        <v>501</v>
      </c>
      <c r="C222" t="s">
        <v>500</v>
      </c>
      <c r="D222" s="5">
        <v>0</v>
      </c>
      <c r="E222" s="10">
        <v>43022</v>
      </c>
    </row>
    <row r="223" spans="1:5" x14ac:dyDescent="0.35">
      <c r="A223">
        <f t="shared" si="3"/>
        <v>222</v>
      </c>
      <c r="B223" t="s">
        <v>499</v>
      </c>
      <c r="C223" t="s">
        <v>500</v>
      </c>
      <c r="D223" s="5">
        <v>1203</v>
      </c>
      <c r="E223" s="10">
        <v>43022</v>
      </c>
    </row>
    <row r="224" spans="1:5" x14ac:dyDescent="0.35">
      <c r="A224">
        <f t="shared" si="3"/>
        <v>223</v>
      </c>
      <c r="B224" t="s">
        <v>499</v>
      </c>
      <c r="C224" t="s">
        <v>498</v>
      </c>
      <c r="D224" s="5">
        <v>1144</v>
      </c>
      <c r="E224" s="10">
        <v>43022</v>
      </c>
    </row>
    <row r="225" spans="1:5" x14ac:dyDescent="0.35">
      <c r="A225">
        <f t="shared" si="3"/>
        <v>224</v>
      </c>
      <c r="B225" t="s">
        <v>503</v>
      </c>
      <c r="C225" t="s">
        <v>498</v>
      </c>
      <c r="D225" s="5">
        <v>0</v>
      </c>
      <c r="E225" s="10">
        <v>43022</v>
      </c>
    </row>
    <row r="226" spans="1:5" x14ac:dyDescent="0.35">
      <c r="A226">
        <f t="shared" si="3"/>
        <v>225</v>
      </c>
      <c r="B226" t="s">
        <v>499</v>
      </c>
      <c r="C226" t="s">
        <v>500</v>
      </c>
      <c r="D226" s="5">
        <v>1202</v>
      </c>
      <c r="E226" s="10">
        <v>43023</v>
      </c>
    </row>
    <row r="227" spans="1:5" x14ac:dyDescent="0.35">
      <c r="A227">
        <f t="shared" si="3"/>
        <v>226</v>
      </c>
      <c r="B227" t="s">
        <v>501</v>
      </c>
      <c r="C227" t="s">
        <v>502</v>
      </c>
      <c r="D227" s="5">
        <v>754</v>
      </c>
      <c r="E227" s="10">
        <v>43023</v>
      </c>
    </row>
    <row r="228" spans="1:5" x14ac:dyDescent="0.35">
      <c r="A228">
        <f t="shared" si="3"/>
        <v>227</v>
      </c>
      <c r="B228" t="s">
        <v>503</v>
      </c>
      <c r="C228" t="s">
        <v>504</v>
      </c>
      <c r="D228" s="5">
        <v>1986</v>
      </c>
      <c r="E228" s="10">
        <v>43023</v>
      </c>
    </row>
    <row r="229" spans="1:5" x14ac:dyDescent="0.35">
      <c r="A229">
        <f t="shared" si="3"/>
        <v>228</v>
      </c>
      <c r="B229" t="s">
        <v>497</v>
      </c>
      <c r="C229" t="s">
        <v>500</v>
      </c>
      <c r="D229" s="5">
        <v>0</v>
      </c>
      <c r="E229" s="10">
        <v>43023</v>
      </c>
    </row>
    <row r="230" spans="1:5" x14ac:dyDescent="0.35">
      <c r="A230">
        <f t="shared" si="3"/>
        <v>229</v>
      </c>
      <c r="B230" t="s">
        <v>501</v>
      </c>
      <c r="C230" t="s">
        <v>498</v>
      </c>
      <c r="D230" s="5">
        <v>0</v>
      </c>
      <c r="E230" s="10">
        <v>43023</v>
      </c>
    </row>
    <row r="231" spans="1:5" x14ac:dyDescent="0.35">
      <c r="A231">
        <f t="shared" si="3"/>
        <v>230</v>
      </c>
      <c r="B231" t="s">
        <v>503</v>
      </c>
      <c r="C231" t="s">
        <v>498</v>
      </c>
      <c r="D231" s="5">
        <v>1743</v>
      </c>
      <c r="E231" s="10">
        <v>43023</v>
      </c>
    </row>
    <row r="232" spans="1:5" x14ac:dyDescent="0.35">
      <c r="A232">
        <f t="shared" si="3"/>
        <v>231</v>
      </c>
      <c r="B232" t="s">
        <v>503</v>
      </c>
      <c r="C232" t="s">
        <v>502</v>
      </c>
      <c r="D232" s="5">
        <v>1304</v>
      </c>
      <c r="E232" s="10">
        <v>43023</v>
      </c>
    </row>
    <row r="233" spans="1:5" x14ac:dyDescent="0.35">
      <c r="A233">
        <f t="shared" si="3"/>
        <v>232</v>
      </c>
      <c r="B233" t="s">
        <v>497</v>
      </c>
      <c r="C233" t="s">
        <v>502</v>
      </c>
      <c r="D233" s="5">
        <v>1500</v>
      </c>
      <c r="E233" s="10">
        <v>43023</v>
      </c>
    </row>
    <row r="234" spans="1:5" x14ac:dyDescent="0.35">
      <c r="A234">
        <f t="shared" si="3"/>
        <v>233</v>
      </c>
      <c r="B234" t="s">
        <v>499</v>
      </c>
      <c r="C234" t="s">
        <v>498</v>
      </c>
      <c r="D234" s="5">
        <v>1291</v>
      </c>
      <c r="E234" s="10">
        <v>43023</v>
      </c>
    </row>
    <row r="235" spans="1:5" x14ac:dyDescent="0.35">
      <c r="A235">
        <f t="shared" si="3"/>
        <v>234</v>
      </c>
      <c r="B235" t="s">
        <v>499</v>
      </c>
      <c r="C235" t="s">
        <v>502</v>
      </c>
      <c r="D235" s="5">
        <v>1360</v>
      </c>
      <c r="E235" s="10">
        <v>43023</v>
      </c>
    </row>
    <row r="236" spans="1:5" x14ac:dyDescent="0.35">
      <c r="A236">
        <f t="shared" si="3"/>
        <v>235</v>
      </c>
      <c r="B236" t="s">
        <v>499</v>
      </c>
      <c r="C236" t="s">
        <v>504</v>
      </c>
      <c r="D236" s="5">
        <v>1499</v>
      </c>
      <c r="E236" s="10">
        <v>43023</v>
      </c>
    </row>
    <row r="237" spans="1:5" x14ac:dyDescent="0.35">
      <c r="A237">
        <f t="shared" si="3"/>
        <v>236</v>
      </c>
      <c r="B237" t="s">
        <v>497</v>
      </c>
      <c r="C237" t="s">
        <v>498</v>
      </c>
      <c r="D237" s="5">
        <v>0</v>
      </c>
      <c r="E237" s="10">
        <v>43023</v>
      </c>
    </row>
    <row r="238" spans="1:5" x14ac:dyDescent="0.35">
      <c r="A238">
        <f t="shared" si="3"/>
        <v>237</v>
      </c>
      <c r="B238" t="s">
        <v>501</v>
      </c>
      <c r="C238" t="s">
        <v>500</v>
      </c>
      <c r="D238" s="5">
        <v>852</v>
      </c>
      <c r="E238" s="10">
        <v>43023</v>
      </c>
    </row>
    <row r="239" spans="1:5" x14ac:dyDescent="0.35">
      <c r="A239">
        <f t="shared" si="3"/>
        <v>238</v>
      </c>
      <c r="B239" t="s">
        <v>503</v>
      </c>
      <c r="C239" t="s">
        <v>500</v>
      </c>
      <c r="D239" s="5">
        <v>1281</v>
      </c>
      <c r="E239" s="10">
        <v>43023</v>
      </c>
    </row>
    <row r="240" spans="1:5" x14ac:dyDescent="0.35">
      <c r="A240">
        <f t="shared" si="3"/>
        <v>239</v>
      </c>
      <c r="B240" t="s">
        <v>501</v>
      </c>
      <c r="C240" t="s">
        <v>504</v>
      </c>
      <c r="D240" s="5">
        <v>952</v>
      </c>
      <c r="E240" s="10">
        <v>43023</v>
      </c>
    </row>
    <row r="241" spans="1:5" x14ac:dyDescent="0.35">
      <c r="A241">
        <f t="shared" si="3"/>
        <v>240</v>
      </c>
      <c r="B241" t="s">
        <v>497</v>
      </c>
      <c r="C241" t="s">
        <v>504</v>
      </c>
      <c r="D241" s="5">
        <v>0</v>
      </c>
      <c r="E241" s="10">
        <v>43023</v>
      </c>
    </row>
    <row r="242" spans="1:5" x14ac:dyDescent="0.35">
      <c r="A242">
        <f t="shared" si="3"/>
        <v>241</v>
      </c>
      <c r="B242" t="s">
        <v>503</v>
      </c>
      <c r="C242" t="s">
        <v>498</v>
      </c>
      <c r="D242" s="5">
        <v>945</v>
      </c>
      <c r="E242" s="10">
        <v>43024</v>
      </c>
    </row>
    <row r="243" spans="1:5" x14ac:dyDescent="0.35">
      <c r="A243">
        <f t="shared" si="3"/>
        <v>242</v>
      </c>
      <c r="B243" t="s">
        <v>501</v>
      </c>
      <c r="C243" t="s">
        <v>500</v>
      </c>
      <c r="D243" s="5">
        <v>598</v>
      </c>
      <c r="E243" s="10">
        <v>43024</v>
      </c>
    </row>
    <row r="244" spans="1:5" x14ac:dyDescent="0.35">
      <c r="A244">
        <f t="shared" si="3"/>
        <v>243</v>
      </c>
      <c r="B244" t="s">
        <v>497</v>
      </c>
      <c r="C244" t="s">
        <v>504</v>
      </c>
      <c r="D244" s="5">
        <v>1101</v>
      </c>
      <c r="E244" s="10">
        <v>43024</v>
      </c>
    </row>
    <row r="245" spans="1:5" x14ac:dyDescent="0.35">
      <c r="A245">
        <f t="shared" si="3"/>
        <v>244</v>
      </c>
      <c r="B245" t="s">
        <v>499</v>
      </c>
      <c r="C245" t="s">
        <v>502</v>
      </c>
      <c r="D245" s="5">
        <v>1412</v>
      </c>
      <c r="E245" s="10">
        <v>43024</v>
      </c>
    </row>
    <row r="246" spans="1:5" x14ac:dyDescent="0.35">
      <c r="A246">
        <f t="shared" si="3"/>
        <v>245</v>
      </c>
      <c r="B246" t="s">
        <v>501</v>
      </c>
      <c r="C246" t="s">
        <v>498</v>
      </c>
      <c r="D246" s="5">
        <v>0</v>
      </c>
      <c r="E246" s="10">
        <v>43024</v>
      </c>
    </row>
    <row r="247" spans="1:5" x14ac:dyDescent="0.35">
      <c r="A247">
        <f t="shared" si="3"/>
        <v>246</v>
      </c>
      <c r="B247" t="s">
        <v>497</v>
      </c>
      <c r="C247" t="s">
        <v>502</v>
      </c>
      <c r="D247" s="5">
        <v>1900</v>
      </c>
      <c r="E247" s="10">
        <v>43024</v>
      </c>
    </row>
    <row r="248" spans="1:5" x14ac:dyDescent="0.35">
      <c r="A248">
        <f t="shared" si="3"/>
        <v>247</v>
      </c>
      <c r="B248" t="s">
        <v>503</v>
      </c>
      <c r="C248" t="s">
        <v>500</v>
      </c>
      <c r="D248" s="5">
        <v>1414</v>
      </c>
      <c r="E248" s="10">
        <v>43024</v>
      </c>
    </row>
    <row r="249" spans="1:5" x14ac:dyDescent="0.35">
      <c r="A249">
        <f t="shared" si="3"/>
        <v>248</v>
      </c>
      <c r="B249" t="s">
        <v>503</v>
      </c>
      <c r="C249" t="s">
        <v>504</v>
      </c>
      <c r="D249" s="5">
        <v>0</v>
      </c>
      <c r="E249" s="10">
        <v>43024</v>
      </c>
    </row>
    <row r="250" spans="1:5" x14ac:dyDescent="0.35">
      <c r="A250">
        <f t="shared" si="3"/>
        <v>249</v>
      </c>
      <c r="B250" t="s">
        <v>497</v>
      </c>
      <c r="C250" t="s">
        <v>498</v>
      </c>
      <c r="D250" s="5">
        <v>1522</v>
      </c>
      <c r="E250" s="10">
        <v>43024</v>
      </c>
    </row>
    <row r="251" spans="1:5" x14ac:dyDescent="0.35">
      <c r="A251">
        <f t="shared" si="3"/>
        <v>250</v>
      </c>
      <c r="B251" t="s">
        <v>501</v>
      </c>
      <c r="C251" t="s">
        <v>504</v>
      </c>
      <c r="D251" s="5">
        <v>735</v>
      </c>
      <c r="E251" s="10">
        <v>43024</v>
      </c>
    </row>
    <row r="252" spans="1:5" x14ac:dyDescent="0.35">
      <c r="A252">
        <f t="shared" si="3"/>
        <v>251</v>
      </c>
      <c r="B252" t="s">
        <v>501</v>
      </c>
      <c r="C252" t="s">
        <v>502</v>
      </c>
      <c r="D252" s="5">
        <v>618</v>
      </c>
      <c r="E252" s="10">
        <v>43024</v>
      </c>
    </row>
    <row r="253" spans="1:5" x14ac:dyDescent="0.35">
      <c r="A253">
        <f t="shared" si="3"/>
        <v>252</v>
      </c>
      <c r="B253" t="s">
        <v>503</v>
      </c>
      <c r="C253" t="s">
        <v>502</v>
      </c>
      <c r="D253" s="5">
        <v>1602</v>
      </c>
      <c r="E253" s="10">
        <v>43024</v>
      </c>
    </row>
    <row r="254" spans="1:5" x14ac:dyDescent="0.35">
      <c r="A254">
        <f t="shared" si="3"/>
        <v>253</v>
      </c>
      <c r="B254" t="s">
        <v>499</v>
      </c>
      <c r="C254" t="s">
        <v>498</v>
      </c>
      <c r="D254" s="5">
        <v>0</v>
      </c>
      <c r="E254" s="10">
        <v>43024</v>
      </c>
    </row>
    <row r="255" spans="1:5" x14ac:dyDescent="0.35">
      <c r="A255">
        <f t="shared" si="3"/>
        <v>254</v>
      </c>
      <c r="B255" t="s">
        <v>497</v>
      </c>
      <c r="C255" t="s">
        <v>500</v>
      </c>
      <c r="D255" s="5">
        <v>0</v>
      </c>
      <c r="E255" s="10">
        <v>43024</v>
      </c>
    </row>
    <row r="256" spans="1:5" x14ac:dyDescent="0.35">
      <c r="A256">
        <f t="shared" si="3"/>
        <v>255</v>
      </c>
      <c r="B256" t="s">
        <v>499</v>
      </c>
      <c r="C256" t="s">
        <v>504</v>
      </c>
      <c r="D256" s="5">
        <v>0</v>
      </c>
      <c r="E256" s="10">
        <v>43024</v>
      </c>
    </row>
    <row r="257" spans="1:5" x14ac:dyDescent="0.35">
      <c r="A257">
        <f t="shared" si="3"/>
        <v>256</v>
      </c>
      <c r="B257" t="s">
        <v>499</v>
      </c>
      <c r="C257" t="s">
        <v>500</v>
      </c>
      <c r="D257" s="5">
        <v>1330</v>
      </c>
      <c r="E257" s="10">
        <v>43024</v>
      </c>
    </row>
    <row r="258" spans="1:5" x14ac:dyDescent="0.35">
      <c r="A258">
        <f t="shared" si="3"/>
        <v>257</v>
      </c>
      <c r="B258" t="s">
        <v>501</v>
      </c>
      <c r="C258" t="s">
        <v>500</v>
      </c>
      <c r="D258" s="5">
        <v>0</v>
      </c>
      <c r="E258" s="10">
        <v>43025</v>
      </c>
    </row>
    <row r="259" spans="1:5" x14ac:dyDescent="0.35">
      <c r="A259">
        <f t="shared" ref="A259:A322" si="4">A258+1</f>
        <v>258</v>
      </c>
      <c r="B259" t="s">
        <v>503</v>
      </c>
      <c r="C259" t="s">
        <v>502</v>
      </c>
      <c r="D259" s="5">
        <v>794</v>
      </c>
      <c r="E259" s="10">
        <v>43025</v>
      </c>
    </row>
    <row r="260" spans="1:5" x14ac:dyDescent="0.35">
      <c r="A260">
        <f t="shared" si="4"/>
        <v>259</v>
      </c>
      <c r="B260" t="s">
        <v>497</v>
      </c>
      <c r="C260" t="s">
        <v>500</v>
      </c>
      <c r="D260" s="5">
        <v>963</v>
      </c>
      <c r="E260" s="10">
        <v>43025</v>
      </c>
    </row>
    <row r="261" spans="1:5" x14ac:dyDescent="0.35">
      <c r="A261">
        <f t="shared" si="4"/>
        <v>260</v>
      </c>
      <c r="B261" t="s">
        <v>501</v>
      </c>
      <c r="C261" t="s">
        <v>504</v>
      </c>
      <c r="D261" s="5">
        <v>820</v>
      </c>
      <c r="E261" s="10">
        <v>43025</v>
      </c>
    </row>
    <row r="262" spans="1:5" x14ac:dyDescent="0.35">
      <c r="A262">
        <f t="shared" si="4"/>
        <v>261</v>
      </c>
      <c r="B262" t="s">
        <v>497</v>
      </c>
      <c r="C262" t="s">
        <v>504</v>
      </c>
      <c r="D262" s="5">
        <v>892</v>
      </c>
      <c r="E262" s="10">
        <v>43025</v>
      </c>
    </row>
    <row r="263" spans="1:5" x14ac:dyDescent="0.35">
      <c r="A263">
        <f t="shared" si="4"/>
        <v>262</v>
      </c>
      <c r="B263" t="s">
        <v>503</v>
      </c>
      <c r="C263" t="s">
        <v>498</v>
      </c>
      <c r="D263" s="5">
        <v>1740</v>
      </c>
      <c r="E263" s="10">
        <v>43025</v>
      </c>
    </row>
    <row r="264" spans="1:5" x14ac:dyDescent="0.35">
      <c r="A264">
        <f t="shared" si="4"/>
        <v>263</v>
      </c>
      <c r="B264" t="s">
        <v>499</v>
      </c>
      <c r="C264" t="s">
        <v>504</v>
      </c>
      <c r="D264" s="5">
        <v>0</v>
      </c>
      <c r="E264" s="10">
        <v>43025</v>
      </c>
    </row>
    <row r="265" spans="1:5" x14ac:dyDescent="0.35">
      <c r="A265">
        <f t="shared" si="4"/>
        <v>264</v>
      </c>
      <c r="B265" t="s">
        <v>497</v>
      </c>
      <c r="C265" t="s">
        <v>498</v>
      </c>
      <c r="D265" s="5">
        <v>1489</v>
      </c>
      <c r="E265" s="10">
        <v>43025</v>
      </c>
    </row>
    <row r="266" spans="1:5" x14ac:dyDescent="0.35">
      <c r="A266">
        <f t="shared" si="4"/>
        <v>265</v>
      </c>
      <c r="B266" t="s">
        <v>499</v>
      </c>
      <c r="C266" t="s">
        <v>502</v>
      </c>
      <c r="D266" s="5">
        <v>1223</v>
      </c>
      <c r="E266" s="10">
        <v>43025</v>
      </c>
    </row>
    <row r="267" spans="1:5" x14ac:dyDescent="0.35">
      <c r="A267">
        <f t="shared" si="4"/>
        <v>266</v>
      </c>
      <c r="B267" t="s">
        <v>503</v>
      </c>
      <c r="C267" t="s">
        <v>500</v>
      </c>
      <c r="D267" s="5">
        <v>1475</v>
      </c>
      <c r="E267" s="10">
        <v>43025</v>
      </c>
    </row>
    <row r="268" spans="1:5" x14ac:dyDescent="0.35">
      <c r="A268">
        <f t="shared" si="4"/>
        <v>267</v>
      </c>
      <c r="B268" t="s">
        <v>499</v>
      </c>
      <c r="C268" t="s">
        <v>500</v>
      </c>
      <c r="D268" s="5">
        <v>0</v>
      </c>
      <c r="E268" s="10">
        <v>43025</v>
      </c>
    </row>
    <row r="269" spans="1:5" x14ac:dyDescent="0.35">
      <c r="A269">
        <f t="shared" si="4"/>
        <v>268</v>
      </c>
      <c r="B269" t="s">
        <v>501</v>
      </c>
      <c r="C269" t="s">
        <v>502</v>
      </c>
      <c r="D269" s="5">
        <v>825</v>
      </c>
      <c r="E269" s="10">
        <v>43025</v>
      </c>
    </row>
    <row r="270" spans="1:5" x14ac:dyDescent="0.35">
      <c r="A270">
        <f t="shared" si="4"/>
        <v>269</v>
      </c>
      <c r="B270" t="s">
        <v>499</v>
      </c>
      <c r="C270" t="s">
        <v>498</v>
      </c>
      <c r="D270" s="5">
        <v>1294</v>
      </c>
      <c r="E270" s="10">
        <v>43025</v>
      </c>
    </row>
    <row r="271" spans="1:5" x14ac:dyDescent="0.35">
      <c r="A271">
        <f t="shared" si="4"/>
        <v>270</v>
      </c>
      <c r="B271" t="s">
        <v>501</v>
      </c>
      <c r="C271" t="s">
        <v>498</v>
      </c>
      <c r="D271" s="5">
        <v>726</v>
      </c>
      <c r="E271" s="10">
        <v>43025</v>
      </c>
    </row>
    <row r="272" spans="1:5" x14ac:dyDescent="0.35">
      <c r="A272">
        <f t="shared" si="4"/>
        <v>271</v>
      </c>
      <c r="B272" t="s">
        <v>497</v>
      </c>
      <c r="C272" t="s">
        <v>502</v>
      </c>
      <c r="D272" s="5">
        <v>2487</v>
      </c>
      <c r="E272" s="10">
        <v>43025</v>
      </c>
    </row>
    <row r="273" spans="1:5" x14ac:dyDescent="0.35">
      <c r="A273">
        <f t="shared" si="4"/>
        <v>272</v>
      </c>
      <c r="B273" t="s">
        <v>503</v>
      </c>
      <c r="C273" t="s">
        <v>504</v>
      </c>
      <c r="D273" s="5">
        <v>650</v>
      </c>
      <c r="E273" s="10">
        <v>43025</v>
      </c>
    </row>
    <row r="274" spans="1:5" x14ac:dyDescent="0.35">
      <c r="A274">
        <f t="shared" si="4"/>
        <v>273</v>
      </c>
      <c r="B274" t="s">
        <v>497</v>
      </c>
      <c r="C274" t="s">
        <v>498</v>
      </c>
      <c r="D274" s="5">
        <v>2493</v>
      </c>
      <c r="E274" s="10">
        <v>43026</v>
      </c>
    </row>
    <row r="275" spans="1:5" x14ac:dyDescent="0.35">
      <c r="A275">
        <f t="shared" si="4"/>
        <v>274</v>
      </c>
      <c r="B275" t="s">
        <v>503</v>
      </c>
      <c r="C275" t="s">
        <v>504</v>
      </c>
      <c r="D275" s="5">
        <v>1757</v>
      </c>
      <c r="E275" s="10">
        <v>43026</v>
      </c>
    </row>
    <row r="276" spans="1:5" x14ac:dyDescent="0.35">
      <c r="A276">
        <f t="shared" si="4"/>
        <v>275</v>
      </c>
      <c r="B276" t="s">
        <v>499</v>
      </c>
      <c r="C276" t="s">
        <v>502</v>
      </c>
      <c r="D276" s="5">
        <v>1232</v>
      </c>
      <c r="E276" s="10">
        <v>43026</v>
      </c>
    </row>
    <row r="277" spans="1:5" x14ac:dyDescent="0.35">
      <c r="A277">
        <f t="shared" si="4"/>
        <v>276</v>
      </c>
      <c r="B277" t="s">
        <v>503</v>
      </c>
      <c r="C277" t="s">
        <v>498</v>
      </c>
      <c r="D277" s="5">
        <v>615</v>
      </c>
      <c r="E277" s="10">
        <v>43026</v>
      </c>
    </row>
    <row r="278" spans="1:5" x14ac:dyDescent="0.35">
      <c r="A278">
        <f t="shared" si="4"/>
        <v>277</v>
      </c>
      <c r="B278" t="s">
        <v>497</v>
      </c>
      <c r="C278" t="s">
        <v>502</v>
      </c>
      <c r="D278" s="5">
        <v>1616</v>
      </c>
      <c r="E278" s="10">
        <v>43026</v>
      </c>
    </row>
    <row r="279" spans="1:5" x14ac:dyDescent="0.35">
      <c r="A279">
        <f t="shared" si="4"/>
        <v>278</v>
      </c>
      <c r="B279" t="s">
        <v>503</v>
      </c>
      <c r="C279" t="s">
        <v>500</v>
      </c>
      <c r="D279" s="5">
        <v>0</v>
      </c>
      <c r="E279" s="10">
        <v>43026</v>
      </c>
    </row>
    <row r="280" spans="1:5" x14ac:dyDescent="0.35">
      <c r="A280">
        <f t="shared" si="4"/>
        <v>279</v>
      </c>
      <c r="B280" t="s">
        <v>503</v>
      </c>
      <c r="C280" t="s">
        <v>502</v>
      </c>
      <c r="D280" s="5">
        <v>905</v>
      </c>
      <c r="E280" s="10">
        <v>43026</v>
      </c>
    </row>
    <row r="281" spans="1:5" x14ac:dyDescent="0.35">
      <c r="A281">
        <f t="shared" si="4"/>
        <v>280</v>
      </c>
      <c r="B281" t="s">
        <v>499</v>
      </c>
      <c r="C281" t="s">
        <v>504</v>
      </c>
      <c r="D281" s="5">
        <v>1071</v>
      </c>
      <c r="E281" s="10">
        <v>43026</v>
      </c>
    </row>
    <row r="282" spans="1:5" x14ac:dyDescent="0.35">
      <c r="A282">
        <f t="shared" si="4"/>
        <v>281</v>
      </c>
      <c r="B282" t="s">
        <v>501</v>
      </c>
      <c r="C282" t="s">
        <v>498</v>
      </c>
      <c r="D282" s="5">
        <v>669</v>
      </c>
      <c r="E282" s="10">
        <v>43026</v>
      </c>
    </row>
    <row r="283" spans="1:5" x14ac:dyDescent="0.35">
      <c r="A283">
        <f t="shared" si="4"/>
        <v>282</v>
      </c>
      <c r="B283" t="s">
        <v>501</v>
      </c>
      <c r="C283" t="s">
        <v>500</v>
      </c>
      <c r="D283" s="5">
        <v>0</v>
      </c>
      <c r="E283" s="10">
        <v>43026</v>
      </c>
    </row>
    <row r="284" spans="1:5" x14ac:dyDescent="0.35">
      <c r="A284">
        <f t="shared" si="4"/>
        <v>283</v>
      </c>
      <c r="B284" t="s">
        <v>499</v>
      </c>
      <c r="C284" t="s">
        <v>500</v>
      </c>
      <c r="D284" s="5">
        <v>0</v>
      </c>
      <c r="E284" s="10">
        <v>43026</v>
      </c>
    </row>
    <row r="285" spans="1:5" x14ac:dyDescent="0.35">
      <c r="A285">
        <f t="shared" si="4"/>
        <v>284</v>
      </c>
      <c r="B285" t="s">
        <v>497</v>
      </c>
      <c r="C285" t="s">
        <v>504</v>
      </c>
      <c r="D285" s="5">
        <v>2109</v>
      </c>
      <c r="E285" s="10">
        <v>43026</v>
      </c>
    </row>
    <row r="286" spans="1:5" x14ac:dyDescent="0.35">
      <c r="A286">
        <f t="shared" si="4"/>
        <v>285</v>
      </c>
      <c r="B286" t="s">
        <v>499</v>
      </c>
      <c r="C286" t="s">
        <v>498</v>
      </c>
      <c r="D286" s="5">
        <v>1347</v>
      </c>
      <c r="E286" s="10">
        <v>43026</v>
      </c>
    </row>
    <row r="287" spans="1:5" x14ac:dyDescent="0.35">
      <c r="A287">
        <f t="shared" si="4"/>
        <v>286</v>
      </c>
      <c r="B287" t="s">
        <v>501</v>
      </c>
      <c r="C287" t="s">
        <v>502</v>
      </c>
      <c r="D287" s="5">
        <v>529</v>
      </c>
      <c r="E287" s="10">
        <v>43026</v>
      </c>
    </row>
    <row r="288" spans="1:5" x14ac:dyDescent="0.35">
      <c r="A288">
        <f t="shared" si="4"/>
        <v>287</v>
      </c>
      <c r="B288" t="s">
        <v>501</v>
      </c>
      <c r="C288" t="s">
        <v>504</v>
      </c>
      <c r="D288" s="5">
        <v>523</v>
      </c>
      <c r="E288" s="10">
        <v>43026</v>
      </c>
    </row>
    <row r="289" spans="1:5" x14ac:dyDescent="0.35">
      <c r="A289">
        <f t="shared" si="4"/>
        <v>288</v>
      </c>
      <c r="B289" t="s">
        <v>497</v>
      </c>
      <c r="C289" t="s">
        <v>500</v>
      </c>
      <c r="D289" s="5">
        <v>1893</v>
      </c>
      <c r="E289" s="10">
        <v>43026</v>
      </c>
    </row>
    <row r="290" spans="1:5" x14ac:dyDescent="0.35">
      <c r="A290">
        <f t="shared" si="4"/>
        <v>289</v>
      </c>
      <c r="B290" t="s">
        <v>501</v>
      </c>
      <c r="C290" t="s">
        <v>500</v>
      </c>
      <c r="D290" s="5">
        <v>564</v>
      </c>
      <c r="E290" s="10">
        <v>43027</v>
      </c>
    </row>
    <row r="291" spans="1:5" x14ac:dyDescent="0.35">
      <c r="A291">
        <f t="shared" si="4"/>
        <v>290</v>
      </c>
      <c r="B291" t="s">
        <v>501</v>
      </c>
      <c r="C291" t="s">
        <v>502</v>
      </c>
      <c r="D291" s="5">
        <v>0</v>
      </c>
      <c r="E291" s="10">
        <v>43027</v>
      </c>
    </row>
    <row r="292" spans="1:5" x14ac:dyDescent="0.35">
      <c r="A292">
        <f t="shared" si="4"/>
        <v>291</v>
      </c>
      <c r="B292" t="s">
        <v>503</v>
      </c>
      <c r="C292" t="s">
        <v>502</v>
      </c>
      <c r="D292" s="5">
        <v>0</v>
      </c>
      <c r="E292" s="10">
        <v>43027</v>
      </c>
    </row>
    <row r="293" spans="1:5" x14ac:dyDescent="0.35">
      <c r="A293">
        <f t="shared" si="4"/>
        <v>292</v>
      </c>
      <c r="B293" t="s">
        <v>497</v>
      </c>
      <c r="C293" t="s">
        <v>500</v>
      </c>
      <c r="D293" s="5">
        <v>0</v>
      </c>
      <c r="E293" s="10">
        <v>43027</v>
      </c>
    </row>
    <row r="294" spans="1:5" x14ac:dyDescent="0.35">
      <c r="A294">
        <f t="shared" si="4"/>
        <v>293</v>
      </c>
      <c r="B294" t="s">
        <v>497</v>
      </c>
      <c r="C294" t="s">
        <v>502</v>
      </c>
      <c r="D294" s="5">
        <v>1289</v>
      </c>
      <c r="E294" s="10">
        <v>43027</v>
      </c>
    </row>
    <row r="295" spans="1:5" x14ac:dyDescent="0.35">
      <c r="A295">
        <f t="shared" si="4"/>
        <v>294</v>
      </c>
      <c r="B295" t="s">
        <v>497</v>
      </c>
      <c r="C295" t="s">
        <v>504</v>
      </c>
      <c r="D295" s="5">
        <v>1388</v>
      </c>
      <c r="E295" s="10">
        <v>43027</v>
      </c>
    </row>
    <row r="296" spans="1:5" x14ac:dyDescent="0.35">
      <c r="A296">
        <f t="shared" si="4"/>
        <v>295</v>
      </c>
      <c r="B296" t="s">
        <v>499</v>
      </c>
      <c r="C296" t="s">
        <v>504</v>
      </c>
      <c r="D296" s="5">
        <v>0</v>
      </c>
      <c r="E296" s="10">
        <v>43027</v>
      </c>
    </row>
    <row r="297" spans="1:5" x14ac:dyDescent="0.35">
      <c r="A297">
        <f t="shared" si="4"/>
        <v>296</v>
      </c>
      <c r="B297" t="s">
        <v>503</v>
      </c>
      <c r="C297" t="s">
        <v>498</v>
      </c>
      <c r="D297" s="5">
        <v>0</v>
      </c>
      <c r="E297" s="10">
        <v>43027</v>
      </c>
    </row>
    <row r="298" spans="1:5" x14ac:dyDescent="0.35">
      <c r="A298">
        <f t="shared" si="4"/>
        <v>297</v>
      </c>
      <c r="B298" t="s">
        <v>501</v>
      </c>
      <c r="C298" t="s">
        <v>498</v>
      </c>
      <c r="D298" s="5">
        <v>604</v>
      </c>
      <c r="E298" s="10">
        <v>43027</v>
      </c>
    </row>
    <row r="299" spans="1:5" x14ac:dyDescent="0.35">
      <c r="A299">
        <f t="shared" si="4"/>
        <v>298</v>
      </c>
      <c r="B299" t="s">
        <v>499</v>
      </c>
      <c r="C299" t="s">
        <v>498</v>
      </c>
      <c r="D299" s="5">
        <v>1500</v>
      </c>
      <c r="E299" s="10">
        <v>43027</v>
      </c>
    </row>
    <row r="300" spans="1:5" x14ac:dyDescent="0.35">
      <c r="A300">
        <f t="shared" si="4"/>
        <v>299</v>
      </c>
      <c r="B300" t="s">
        <v>499</v>
      </c>
      <c r="C300" t="s">
        <v>502</v>
      </c>
      <c r="D300" s="5">
        <v>0</v>
      </c>
      <c r="E300" s="10">
        <v>43027</v>
      </c>
    </row>
    <row r="301" spans="1:5" x14ac:dyDescent="0.35">
      <c r="A301">
        <f t="shared" si="4"/>
        <v>300</v>
      </c>
      <c r="B301" t="s">
        <v>503</v>
      </c>
      <c r="C301" t="s">
        <v>504</v>
      </c>
      <c r="D301" s="5">
        <v>877</v>
      </c>
      <c r="E301" s="10">
        <v>43027</v>
      </c>
    </row>
    <row r="302" spans="1:5" x14ac:dyDescent="0.35">
      <c r="A302">
        <f t="shared" si="4"/>
        <v>301</v>
      </c>
      <c r="B302" t="s">
        <v>497</v>
      </c>
      <c r="C302" t="s">
        <v>498</v>
      </c>
      <c r="D302" s="5">
        <v>0</v>
      </c>
      <c r="E302" s="10">
        <v>43027</v>
      </c>
    </row>
    <row r="303" spans="1:5" x14ac:dyDescent="0.35">
      <c r="A303">
        <f t="shared" si="4"/>
        <v>302</v>
      </c>
      <c r="B303" t="s">
        <v>503</v>
      </c>
      <c r="C303" t="s">
        <v>500</v>
      </c>
      <c r="D303" s="5">
        <v>0</v>
      </c>
      <c r="E303" s="10">
        <v>43027</v>
      </c>
    </row>
    <row r="304" spans="1:5" x14ac:dyDescent="0.35">
      <c r="A304">
        <f t="shared" si="4"/>
        <v>303</v>
      </c>
      <c r="B304" t="s">
        <v>501</v>
      </c>
      <c r="C304" t="s">
        <v>504</v>
      </c>
      <c r="D304" s="5">
        <v>0</v>
      </c>
      <c r="E304" s="10">
        <v>43027</v>
      </c>
    </row>
    <row r="305" spans="1:5" x14ac:dyDescent="0.35">
      <c r="A305">
        <f t="shared" si="4"/>
        <v>304</v>
      </c>
      <c r="B305" t="s">
        <v>499</v>
      </c>
      <c r="C305" t="s">
        <v>500</v>
      </c>
      <c r="D305" s="5">
        <v>0</v>
      </c>
      <c r="E305" s="10">
        <v>43027</v>
      </c>
    </row>
    <row r="306" spans="1:5" x14ac:dyDescent="0.35">
      <c r="A306">
        <f t="shared" si="4"/>
        <v>305</v>
      </c>
      <c r="B306" t="s">
        <v>499</v>
      </c>
      <c r="C306" t="s">
        <v>500</v>
      </c>
      <c r="D306" s="5">
        <v>1054</v>
      </c>
      <c r="E306" s="10">
        <v>43028</v>
      </c>
    </row>
    <row r="307" spans="1:5" x14ac:dyDescent="0.35">
      <c r="A307">
        <f t="shared" si="4"/>
        <v>306</v>
      </c>
      <c r="B307" t="s">
        <v>499</v>
      </c>
      <c r="C307" t="s">
        <v>504</v>
      </c>
      <c r="D307" s="5">
        <v>0</v>
      </c>
      <c r="E307" s="10">
        <v>43028</v>
      </c>
    </row>
    <row r="308" spans="1:5" x14ac:dyDescent="0.35">
      <c r="A308">
        <f t="shared" si="4"/>
        <v>307</v>
      </c>
      <c r="B308" t="s">
        <v>497</v>
      </c>
      <c r="C308" t="s">
        <v>502</v>
      </c>
      <c r="D308" s="5">
        <v>1107</v>
      </c>
      <c r="E308" s="10">
        <v>43028</v>
      </c>
    </row>
    <row r="309" spans="1:5" x14ac:dyDescent="0.35">
      <c r="A309">
        <f t="shared" si="4"/>
        <v>308</v>
      </c>
      <c r="B309" t="s">
        <v>503</v>
      </c>
      <c r="C309" t="s">
        <v>498</v>
      </c>
      <c r="D309" s="5">
        <v>1875</v>
      </c>
      <c r="E309" s="10">
        <v>43028</v>
      </c>
    </row>
    <row r="310" spans="1:5" x14ac:dyDescent="0.35">
      <c r="A310">
        <f t="shared" si="4"/>
        <v>309</v>
      </c>
      <c r="B310" t="s">
        <v>499</v>
      </c>
      <c r="C310" t="s">
        <v>498</v>
      </c>
      <c r="D310" s="5">
        <v>0</v>
      </c>
      <c r="E310" s="10">
        <v>43028</v>
      </c>
    </row>
    <row r="311" spans="1:5" x14ac:dyDescent="0.35">
      <c r="A311">
        <f t="shared" si="4"/>
        <v>310</v>
      </c>
      <c r="B311" t="s">
        <v>501</v>
      </c>
      <c r="C311" t="s">
        <v>500</v>
      </c>
      <c r="D311" s="5">
        <v>825</v>
      </c>
      <c r="E311" s="10">
        <v>43028</v>
      </c>
    </row>
    <row r="312" spans="1:5" x14ac:dyDescent="0.35">
      <c r="A312">
        <f t="shared" si="4"/>
        <v>311</v>
      </c>
      <c r="B312" t="s">
        <v>497</v>
      </c>
      <c r="C312" t="s">
        <v>500</v>
      </c>
      <c r="D312" s="5">
        <v>869</v>
      </c>
      <c r="E312" s="10">
        <v>43028</v>
      </c>
    </row>
    <row r="313" spans="1:5" x14ac:dyDescent="0.35">
      <c r="A313">
        <f t="shared" si="4"/>
        <v>312</v>
      </c>
      <c r="B313" t="s">
        <v>503</v>
      </c>
      <c r="C313" t="s">
        <v>500</v>
      </c>
      <c r="D313" s="5">
        <v>1172</v>
      </c>
      <c r="E313" s="10">
        <v>43028</v>
      </c>
    </row>
    <row r="314" spans="1:5" x14ac:dyDescent="0.35">
      <c r="A314">
        <f t="shared" si="4"/>
        <v>313</v>
      </c>
      <c r="B314" t="s">
        <v>497</v>
      </c>
      <c r="C314" t="s">
        <v>504</v>
      </c>
      <c r="D314" s="5">
        <v>2087</v>
      </c>
      <c r="E314" s="10">
        <v>43028</v>
      </c>
    </row>
    <row r="315" spans="1:5" x14ac:dyDescent="0.35">
      <c r="A315">
        <f t="shared" si="4"/>
        <v>314</v>
      </c>
      <c r="B315" t="s">
        <v>501</v>
      </c>
      <c r="C315" t="s">
        <v>502</v>
      </c>
      <c r="D315" s="5">
        <v>713</v>
      </c>
      <c r="E315" s="10">
        <v>43028</v>
      </c>
    </row>
    <row r="316" spans="1:5" x14ac:dyDescent="0.35">
      <c r="A316">
        <f t="shared" si="4"/>
        <v>315</v>
      </c>
      <c r="B316" t="s">
        <v>501</v>
      </c>
      <c r="C316" t="s">
        <v>504</v>
      </c>
      <c r="D316" s="5">
        <v>940</v>
      </c>
      <c r="E316" s="10">
        <v>43028</v>
      </c>
    </row>
    <row r="317" spans="1:5" x14ac:dyDescent="0.35">
      <c r="A317">
        <f t="shared" si="4"/>
        <v>316</v>
      </c>
      <c r="B317" t="s">
        <v>503</v>
      </c>
      <c r="C317" t="s">
        <v>502</v>
      </c>
      <c r="D317" s="5">
        <v>0</v>
      </c>
      <c r="E317" s="10">
        <v>43028</v>
      </c>
    </row>
    <row r="318" spans="1:5" x14ac:dyDescent="0.35">
      <c r="A318">
        <f t="shared" si="4"/>
        <v>317</v>
      </c>
      <c r="B318" t="s">
        <v>503</v>
      </c>
      <c r="C318" t="s">
        <v>504</v>
      </c>
      <c r="D318" s="5">
        <v>688</v>
      </c>
      <c r="E318" s="10">
        <v>43028</v>
      </c>
    </row>
    <row r="319" spans="1:5" x14ac:dyDescent="0.35">
      <c r="A319">
        <f t="shared" si="4"/>
        <v>318</v>
      </c>
      <c r="B319" t="s">
        <v>497</v>
      </c>
      <c r="C319" t="s">
        <v>498</v>
      </c>
      <c r="D319" s="5">
        <v>2380</v>
      </c>
      <c r="E319" s="10">
        <v>43028</v>
      </c>
    </row>
    <row r="320" spans="1:5" x14ac:dyDescent="0.35">
      <c r="A320">
        <f t="shared" si="4"/>
        <v>319</v>
      </c>
      <c r="B320" t="s">
        <v>499</v>
      </c>
      <c r="C320" t="s">
        <v>502</v>
      </c>
      <c r="D320" s="5">
        <v>0</v>
      </c>
      <c r="E320" s="10">
        <v>43028</v>
      </c>
    </row>
    <row r="321" spans="1:5" x14ac:dyDescent="0.35">
      <c r="A321">
        <f t="shared" si="4"/>
        <v>320</v>
      </c>
      <c r="B321" t="s">
        <v>501</v>
      </c>
      <c r="C321" t="s">
        <v>498</v>
      </c>
      <c r="D321" s="5">
        <v>0</v>
      </c>
      <c r="E321" s="10">
        <v>43028</v>
      </c>
    </row>
    <row r="322" spans="1:5" x14ac:dyDescent="0.35">
      <c r="A322">
        <f t="shared" si="4"/>
        <v>321</v>
      </c>
      <c r="B322" t="s">
        <v>497</v>
      </c>
      <c r="C322" t="s">
        <v>504</v>
      </c>
      <c r="D322" s="5">
        <v>0</v>
      </c>
      <c r="E322" s="10">
        <v>43029</v>
      </c>
    </row>
    <row r="323" spans="1:5" x14ac:dyDescent="0.35">
      <c r="A323">
        <f t="shared" ref="A323:A386" si="5">A322+1</f>
        <v>322</v>
      </c>
      <c r="B323" t="s">
        <v>501</v>
      </c>
      <c r="C323" t="s">
        <v>500</v>
      </c>
      <c r="D323" s="5">
        <v>960</v>
      </c>
      <c r="E323" s="10">
        <v>43029</v>
      </c>
    </row>
    <row r="324" spans="1:5" x14ac:dyDescent="0.35">
      <c r="A324">
        <f t="shared" si="5"/>
        <v>323</v>
      </c>
      <c r="B324" t="s">
        <v>501</v>
      </c>
      <c r="C324" t="s">
        <v>502</v>
      </c>
      <c r="D324" s="5">
        <v>582</v>
      </c>
      <c r="E324" s="10">
        <v>43029</v>
      </c>
    </row>
    <row r="325" spans="1:5" x14ac:dyDescent="0.35">
      <c r="A325">
        <f t="shared" si="5"/>
        <v>324</v>
      </c>
      <c r="B325" t="s">
        <v>503</v>
      </c>
      <c r="C325" t="s">
        <v>502</v>
      </c>
      <c r="D325" s="5">
        <v>1864</v>
      </c>
      <c r="E325" s="10">
        <v>43029</v>
      </c>
    </row>
    <row r="326" spans="1:5" x14ac:dyDescent="0.35">
      <c r="A326">
        <f t="shared" si="5"/>
        <v>325</v>
      </c>
      <c r="B326" t="s">
        <v>497</v>
      </c>
      <c r="C326" t="s">
        <v>502</v>
      </c>
      <c r="D326" s="5">
        <v>1037</v>
      </c>
      <c r="E326" s="10">
        <v>43029</v>
      </c>
    </row>
    <row r="327" spans="1:5" x14ac:dyDescent="0.35">
      <c r="A327">
        <f t="shared" si="5"/>
        <v>326</v>
      </c>
      <c r="B327" t="s">
        <v>497</v>
      </c>
      <c r="C327" t="s">
        <v>500</v>
      </c>
      <c r="D327" s="5">
        <v>1916</v>
      </c>
      <c r="E327" s="10">
        <v>43029</v>
      </c>
    </row>
    <row r="328" spans="1:5" x14ac:dyDescent="0.35">
      <c r="A328">
        <f t="shared" si="5"/>
        <v>327</v>
      </c>
      <c r="B328" t="s">
        <v>499</v>
      </c>
      <c r="C328" t="s">
        <v>504</v>
      </c>
      <c r="D328" s="5">
        <v>1342</v>
      </c>
      <c r="E328" s="10">
        <v>43029</v>
      </c>
    </row>
    <row r="329" spans="1:5" x14ac:dyDescent="0.35">
      <c r="A329">
        <f t="shared" si="5"/>
        <v>328</v>
      </c>
      <c r="B329" t="s">
        <v>501</v>
      </c>
      <c r="C329" t="s">
        <v>504</v>
      </c>
      <c r="D329" s="5">
        <v>875</v>
      </c>
      <c r="E329" s="10">
        <v>43029</v>
      </c>
    </row>
    <row r="330" spans="1:5" x14ac:dyDescent="0.35">
      <c r="A330">
        <f t="shared" si="5"/>
        <v>329</v>
      </c>
      <c r="B330" t="s">
        <v>497</v>
      </c>
      <c r="C330" t="s">
        <v>498</v>
      </c>
      <c r="D330" s="5">
        <v>0</v>
      </c>
      <c r="E330" s="10">
        <v>43029</v>
      </c>
    </row>
    <row r="331" spans="1:5" x14ac:dyDescent="0.35">
      <c r="A331">
        <f t="shared" si="5"/>
        <v>330</v>
      </c>
      <c r="B331" t="s">
        <v>499</v>
      </c>
      <c r="C331" t="s">
        <v>498</v>
      </c>
      <c r="D331" s="5">
        <v>1139</v>
      </c>
      <c r="E331" s="10">
        <v>43029</v>
      </c>
    </row>
    <row r="332" spans="1:5" x14ac:dyDescent="0.35">
      <c r="A332">
        <f t="shared" si="5"/>
        <v>331</v>
      </c>
      <c r="B332" t="s">
        <v>503</v>
      </c>
      <c r="C332" t="s">
        <v>504</v>
      </c>
      <c r="D332" s="5">
        <v>834</v>
      </c>
      <c r="E332" s="10">
        <v>43029</v>
      </c>
    </row>
    <row r="333" spans="1:5" x14ac:dyDescent="0.35">
      <c r="A333">
        <f t="shared" si="5"/>
        <v>332</v>
      </c>
      <c r="B333" t="s">
        <v>499</v>
      </c>
      <c r="C333" t="s">
        <v>502</v>
      </c>
      <c r="D333" s="5">
        <v>0</v>
      </c>
      <c r="E333" s="10">
        <v>43029</v>
      </c>
    </row>
    <row r="334" spans="1:5" x14ac:dyDescent="0.35">
      <c r="A334">
        <f t="shared" si="5"/>
        <v>333</v>
      </c>
      <c r="B334" t="s">
        <v>499</v>
      </c>
      <c r="C334" t="s">
        <v>500</v>
      </c>
      <c r="D334" s="5">
        <v>1038</v>
      </c>
      <c r="E334" s="10">
        <v>43029</v>
      </c>
    </row>
    <row r="335" spans="1:5" x14ac:dyDescent="0.35">
      <c r="A335">
        <f t="shared" si="5"/>
        <v>334</v>
      </c>
      <c r="B335" t="s">
        <v>503</v>
      </c>
      <c r="C335" t="s">
        <v>500</v>
      </c>
      <c r="D335" s="5">
        <v>847</v>
      </c>
      <c r="E335" s="10">
        <v>43029</v>
      </c>
    </row>
    <row r="336" spans="1:5" x14ac:dyDescent="0.35">
      <c r="A336">
        <f t="shared" si="5"/>
        <v>335</v>
      </c>
      <c r="B336" t="s">
        <v>501</v>
      </c>
      <c r="C336" t="s">
        <v>498</v>
      </c>
      <c r="D336" s="5">
        <v>808</v>
      </c>
      <c r="E336" s="10">
        <v>43029</v>
      </c>
    </row>
    <row r="337" spans="1:5" x14ac:dyDescent="0.35">
      <c r="A337">
        <f t="shared" si="5"/>
        <v>336</v>
      </c>
      <c r="B337" t="s">
        <v>503</v>
      </c>
      <c r="C337" t="s">
        <v>498</v>
      </c>
      <c r="D337" s="5">
        <v>0</v>
      </c>
      <c r="E337" s="10">
        <v>43029</v>
      </c>
    </row>
    <row r="338" spans="1:5" x14ac:dyDescent="0.35">
      <c r="A338">
        <f t="shared" si="5"/>
        <v>337</v>
      </c>
      <c r="B338" t="s">
        <v>497</v>
      </c>
      <c r="C338" t="s">
        <v>500</v>
      </c>
      <c r="D338" s="5">
        <v>0</v>
      </c>
      <c r="E338" s="10">
        <v>43030</v>
      </c>
    </row>
    <row r="339" spans="1:5" x14ac:dyDescent="0.35">
      <c r="A339">
        <f t="shared" si="5"/>
        <v>338</v>
      </c>
      <c r="B339" t="s">
        <v>497</v>
      </c>
      <c r="C339" t="s">
        <v>498</v>
      </c>
      <c r="D339" s="5">
        <v>2167</v>
      </c>
      <c r="E339" s="10">
        <v>43030</v>
      </c>
    </row>
    <row r="340" spans="1:5" x14ac:dyDescent="0.35">
      <c r="A340">
        <f t="shared" si="5"/>
        <v>339</v>
      </c>
      <c r="B340" t="s">
        <v>497</v>
      </c>
      <c r="C340" t="s">
        <v>504</v>
      </c>
      <c r="D340" s="5">
        <v>0</v>
      </c>
      <c r="E340" s="10">
        <v>43030</v>
      </c>
    </row>
    <row r="341" spans="1:5" x14ac:dyDescent="0.35">
      <c r="A341">
        <f t="shared" si="5"/>
        <v>340</v>
      </c>
      <c r="B341" t="s">
        <v>501</v>
      </c>
      <c r="C341" t="s">
        <v>498</v>
      </c>
      <c r="D341" s="5">
        <v>510</v>
      </c>
      <c r="E341" s="10">
        <v>43030</v>
      </c>
    </row>
    <row r="342" spans="1:5" x14ac:dyDescent="0.35">
      <c r="A342">
        <f t="shared" si="5"/>
        <v>341</v>
      </c>
      <c r="B342" t="s">
        <v>497</v>
      </c>
      <c r="C342" t="s">
        <v>502</v>
      </c>
      <c r="D342" s="5">
        <v>1616</v>
      </c>
      <c r="E342" s="10">
        <v>43030</v>
      </c>
    </row>
    <row r="343" spans="1:5" x14ac:dyDescent="0.35">
      <c r="A343">
        <f t="shared" si="5"/>
        <v>342</v>
      </c>
      <c r="B343" t="s">
        <v>499</v>
      </c>
      <c r="C343" t="s">
        <v>502</v>
      </c>
      <c r="D343" s="5">
        <v>952</v>
      </c>
      <c r="E343" s="10">
        <v>43030</v>
      </c>
    </row>
    <row r="344" spans="1:5" x14ac:dyDescent="0.35">
      <c r="A344">
        <f t="shared" si="5"/>
        <v>343</v>
      </c>
      <c r="B344" t="s">
        <v>503</v>
      </c>
      <c r="C344" t="s">
        <v>502</v>
      </c>
      <c r="D344" s="5">
        <v>1334</v>
      </c>
      <c r="E344" s="10">
        <v>43030</v>
      </c>
    </row>
    <row r="345" spans="1:5" x14ac:dyDescent="0.35">
      <c r="A345">
        <f t="shared" si="5"/>
        <v>344</v>
      </c>
      <c r="B345" t="s">
        <v>499</v>
      </c>
      <c r="C345" t="s">
        <v>500</v>
      </c>
      <c r="D345" s="5">
        <v>1437</v>
      </c>
      <c r="E345" s="10">
        <v>43030</v>
      </c>
    </row>
    <row r="346" spans="1:5" x14ac:dyDescent="0.35">
      <c r="A346">
        <f t="shared" si="5"/>
        <v>345</v>
      </c>
      <c r="B346" t="s">
        <v>503</v>
      </c>
      <c r="C346" t="s">
        <v>498</v>
      </c>
      <c r="D346" s="5">
        <v>845</v>
      </c>
      <c r="E346" s="10">
        <v>43030</v>
      </c>
    </row>
    <row r="347" spans="1:5" x14ac:dyDescent="0.35">
      <c r="A347">
        <f t="shared" si="5"/>
        <v>346</v>
      </c>
      <c r="B347" t="s">
        <v>499</v>
      </c>
      <c r="C347" t="s">
        <v>504</v>
      </c>
      <c r="D347" s="5">
        <v>1348</v>
      </c>
      <c r="E347" s="10">
        <v>43030</v>
      </c>
    </row>
    <row r="348" spans="1:5" x14ac:dyDescent="0.35">
      <c r="A348">
        <f t="shared" si="5"/>
        <v>347</v>
      </c>
      <c r="B348" t="s">
        <v>501</v>
      </c>
      <c r="C348" t="s">
        <v>500</v>
      </c>
      <c r="D348" s="5">
        <v>996</v>
      </c>
      <c r="E348" s="10">
        <v>43030</v>
      </c>
    </row>
    <row r="349" spans="1:5" x14ac:dyDescent="0.35">
      <c r="A349">
        <f t="shared" si="5"/>
        <v>348</v>
      </c>
      <c r="B349" t="s">
        <v>501</v>
      </c>
      <c r="C349" t="s">
        <v>504</v>
      </c>
      <c r="D349" s="5">
        <v>699</v>
      </c>
      <c r="E349" s="10">
        <v>43030</v>
      </c>
    </row>
    <row r="350" spans="1:5" x14ac:dyDescent="0.35">
      <c r="A350">
        <f t="shared" si="5"/>
        <v>349</v>
      </c>
      <c r="B350" t="s">
        <v>499</v>
      </c>
      <c r="C350" t="s">
        <v>498</v>
      </c>
      <c r="D350" s="5">
        <v>1291</v>
      </c>
      <c r="E350" s="10">
        <v>43030</v>
      </c>
    </row>
    <row r="351" spans="1:5" x14ac:dyDescent="0.35">
      <c r="A351">
        <f t="shared" si="5"/>
        <v>350</v>
      </c>
      <c r="B351" t="s">
        <v>501</v>
      </c>
      <c r="C351" t="s">
        <v>502</v>
      </c>
      <c r="D351" s="5">
        <v>505</v>
      </c>
      <c r="E351" s="10">
        <v>43030</v>
      </c>
    </row>
    <row r="352" spans="1:5" x14ac:dyDescent="0.35">
      <c r="A352">
        <f t="shared" si="5"/>
        <v>351</v>
      </c>
      <c r="B352" t="s">
        <v>503</v>
      </c>
      <c r="C352" t="s">
        <v>504</v>
      </c>
      <c r="D352" s="5">
        <v>1619</v>
      </c>
      <c r="E352" s="10">
        <v>43030</v>
      </c>
    </row>
    <row r="353" spans="1:5" x14ac:dyDescent="0.35">
      <c r="A353">
        <f t="shared" si="5"/>
        <v>352</v>
      </c>
      <c r="B353" t="s">
        <v>503</v>
      </c>
      <c r="C353" t="s">
        <v>500</v>
      </c>
      <c r="D353" s="5">
        <v>0</v>
      </c>
      <c r="E353" s="10">
        <v>43030</v>
      </c>
    </row>
    <row r="354" spans="1:5" x14ac:dyDescent="0.35">
      <c r="A354">
        <f t="shared" si="5"/>
        <v>353</v>
      </c>
      <c r="B354" t="s">
        <v>501</v>
      </c>
      <c r="C354" t="s">
        <v>502</v>
      </c>
      <c r="D354" s="5">
        <v>0</v>
      </c>
      <c r="E354" s="10">
        <v>43031</v>
      </c>
    </row>
    <row r="355" spans="1:5" x14ac:dyDescent="0.35">
      <c r="A355">
        <f t="shared" si="5"/>
        <v>354</v>
      </c>
      <c r="B355" t="s">
        <v>497</v>
      </c>
      <c r="C355" t="s">
        <v>504</v>
      </c>
      <c r="D355" s="5">
        <v>1747</v>
      </c>
      <c r="E355" s="10">
        <v>43031</v>
      </c>
    </row>
    <row r="356" spans="1:5" x14ac:dyDescent="0.35">
      <c r="A356">
        <f t="shared" si="5"/>
        <v>355</v>
      </c>
      <c r="B356" t="s">
        <v>503</v>
      </c>
      <c r="C356" t="s">
        <v>502</v>
      </c>
      <c r="D356" s="5">
        <v>1234</v>
      </c>
      <c r="E356" s="10">
        <v>43031</v>
      </c>
    </row>
    <row r="357" spans="1:5" x14ac:dyDescent="0.35">
      <c r="A357">
        <f t="shared" si="5"/>
        <v>356</v>
      </c>
      <c r="B357" t="s">
        <v>501</v>
      </c>
      <c r="C357" t="s">
        <v>498</v>
      </c>
      <c r="D357" s="5">
        <v>881</v>
      </c>
      <c r="E357" s="10">
        <v>43031</v>
      </c>
    </row>
    <row r="358" spans="1:5" x14ac:dyDescent="0.35">
      <c r="A358">
        <f t="shared" si="5"/>
        <v>357</v>
      </c>
      <c r="B358" t="s">
        <v>501</v>
      </c>
      <c r="C358" t="s">
        <v>500</v>
      </c>
      <c r="D358" s="5">
        <v>804</v>
      </c>
      <c r="E358" s="10">
        <v>43031</v>
      </c>
    </row>
    <row r="359" spans="1:5" x14ac:dyDescent="0.35">
      <c r="A359">
        <f t="shared" si="5"/>
        <v>358</v>
      </c>
      <c r="B359" t="s">
        <v>503</v>
      </c>
      <c r="C359" t="s">
        <v>498</v>
      </c>
      <c r="D359" s="5">
        <v>0</v>
      </c>
      <c r="E359" s="10">
        <v>43031</v>
      </c>
    </row>
    <row r="360" spans="1:5" x14ac:dyDescent="0.35">
      <c r="A360">
        <f t="shared" si="5"/>
        <v>359</v>
      </c>
      <c r="B360" t="s">
        <v>499</v>
      </c>
      <c r="C360" t="s">
        <v>498</v>
      </c>
      <c r="D360" s="5">
        <v>984</v>
      </c>
      <c r="E360" s="10">
        <v>43031</v>
      </c>
    </row>
    <row r="361" spans="1:5" x14ac:dyDescent="0.35">
      <c r="A361">
        <f t="shared" si="5"/>
        <v>360</v>
      </c>
      <c r="B361" t="s">
        <v>503</v>
      </c>
      <c r="C361" t="s">
        <v>500</v>
      </c>
      <c r="D361" s="5">
        <v>1176</v>
      </c>
      <c r="E361" s="10">
        <v>43031</v>
      </c>
    </row>
    <row r="362" spans="1:5" x14ac:dyDescent="0.35">
      <c r="A362">
        <f t="shared" si="5"/>
        <v>361</v>
      </c>
      <c r="B362" t="s">
        <v>499</v>
      </c>
      <c r="C362" t="s">
        <v>502</v>
      </c>
      <c r="D362" s="5">
        <v>968</v>
      </c>
      <c r="E362" s="10">
        <v>43031</v>
      </c>
    </row>
    <row r="363" spans="1:5" x14ac:dyDescent="0.35">
      <c r="A363">
        <f t="shared" si="5"/>
        <v>362</v>
      </c>
      <c r="B363" t="s">
        <v>501</v>
      </c>
      <c r="C363" t="s">
        <v>504</v>
      </c>
      <c r="D363" s="5">
        <v>0</v>
      </c>
      <c r="E363" s="10">
        <v>43031</v>
      </c>
    </row>
    <row r="364" spans="1:5" x14ac:dyDescent="0.35">
      <c r="A364">
        <f t="shared" si="5"/>
        <v>363</v>
      </c>
      <c r="B364" t="s">
        <v>503</v>
      </c>
      <c r="C364" t="s">
        <v>504</v>
      </c>
      <c r="D364" s="5">
        <v>1099</v>
      </c>
      <c r="E364" s="10">
        <v>43031</v>
      </c>
    </row>
    <row r="365" spans="1:5" x14ac:dyDescent="0.35">
      <c r="A365">
        <f t="shared" si="5"/>
        <v>364</v>
      </c>
      <c r="B365" t="s">
        <v>497</v>
      </c>
      <c r="C365" t="s">
        <v>502</v>
      </c>
      <c r="D365" s="5">
        <v>2447</v>
      </c>
      <c r="E365" s="10">
        <v>43031</v>
      </c>
    </row>
    <row r="366" spans="1:5" x14ac:dyDescent="0.35">
      <c r="A366">
        <f t="shared" si="5"/>
        <v>365</v>
      </c>
      <c r="B366" t="s">
        <v>497</v>
      </c>
      <c r="C366" t="s">
        <v>498</v>
      </c>
      <c r="D366" s="5">
        <v>2144</v>
      </c>
      <c r="E366" s="10">
        <v>43031</v>
      </c>
    </row>
    <row r="367" spans="1:5" x14ac:dyDescent="0.35">
      <c r="A367">
        <f t="shared" si="5"/>
        <v>366</v>
      </c>
      <c r="B367" t="s">
        <v>499</v>
      </c>
      <c r="C367" t="s">
        <v>500</v>
      </c>
      <c r="D367" s="5">
        <v>0</v>
      </c>
      <c r="E367" s="10">
        <v>43031</v>
      </c>
    </row>
    <row r="368" spans="1:5" x14ac:dyDescent="0.35">
      <c r="A368">
        <f t="shared" si="5"/>
        <v>367</v>
      </c>
      <c r="B368" t="s">
        <v>499</v>
      </c>
      <c r="C368" t="s">
        <v>504</v>
      </c>
      <c r="D368" s="5">
        <v>1212</v>
      </c>
      <c r="E368" s="10">
        <v>43031</v>
      </c>
    </row>
    <row r="369" spans="1:5" x14ac:dyDescent="0.35">
      <c r="A369">
        <f t="shared" si="5"/>
        <v>368</v>
      </c>
      <c r="B369" t="s">
        <v>497</v>
      </c>
      <c r="C369" t="s">
        <v>500</v>
      </c>
      <c r="D369" s="5">
        <v>0</v>
      </c>
      <c r="E369" s="10">
        <v>43031</v>
      </c>
    </row>
    <row r="370" spans="1:5" x14ac:dyDescent="0.35">
      <c r="A370">
        <f t="shared" si="5"/>
        <v>369</v>
      </c>
      <c r="B370" t="s">
        <v>503</v>
      </c>
      <c r="C370" t="s">
        <v>502</v>
      </c>
      <c r="D370" s="5">
        <v>681</v>
      </c>
      <c r="E370" s="10">
        <v>43032</v>
      </c>
    </row>
    <row r="371" spans="1:5" x14ac:dyDescent="0.35">
      <c r="A371">
        <f t="shared" si="5"/>
        <v>370</v>
      </c>
      <c r="B371" t="s">
        <v>497</v>
      </c>
      <c r="C371" t="s">
        <v>502</v>
      </c>
      <c r="D371" s="5">
        <v>1893</v>
      </c>
      <c r="E371" s="10">
        <v>43032</v>
      </c>
    </row>
    <row r="372" spans="1:5" x14ac:dyDescent="0.35">
      <c r="A372">
        <f t="shared" si="5"/>
        <v>371</v>
      </c>
      <c r="B372" t="s">
        <v>497</v>
      </c>
      <c r="C372" t="s">
        <v>498</v>
      </c>
      <c r="D372" s="5">
        <v>0</v>
      </c>
      <c r="E372" s="10">
        <v>43032</v>
      </c>
    </row>
    <row r="373" spans="1:5" x14ac:dyDescent="0.35">
      <c r="A373">
        <f t="shared" si="5"/>
        <v>372</v>
      </c>
      <c r="B373" t="s">
        <v>503</v>
      </c>
      <c r="C373" t="s">
        <v>498</v>
      </c>
      <c r="D373" s="5">
        <v>1395</v>
      </c>
      <c r="E373" s="10">
        <v>43032</v>
      </c>
    </row>
    <row r="374" spans="1:5" x14ac:dyDescent="0.35">
      <c r="A374">
        <f t="shared" si="5"/>
        <v>373</v>
      </c>
      <c r="B374" t="s">
        <v>503</v>
      </c>
      <c r="C374" t="s">
        <v>500</v>
      </c>
      <c r="D374" s="5">
        <v>0</v>
      </c>
      <c r="E374" s="10">
        <v>43032</v>
      </c>
    </row>
    <row r="375" spans="1:5" x14ac:dyDescent="0.35">
      <c r="A375">
        <f t="shared" si="5"/>
        <v>374</v>
      </c>
      <c r="B375" t="s">
        <v>501</v>
      </c>
      <c r="C375" t="s">
        <v>500</v>
      </c>
      <c r="D375" s="5">
        <v>528</v>
      </c>
      <c r="E375" s="10">
        <v>43032</v>
      </c>
    </row>
    <row r="376" spans="1:5" x14ac:dyDescent="0.35">
      <c r="A376">
        <f t="shared" si="5"/>
        <v>375</v>
      </c>
      <c r="B376" t="s">
        <v>499</v>
      </c>
      <c r="C376" t="s">
        <v>500</v>
      </c>
      <c r="D376" s="5">
        <v>965</v>
      </c>
      <c r="E376" s="10">
        <v>43032</v>
      </c>
    </row>
    <row r="377" spans="1:5" x14ac:dyDescent="0.35">
      <c r="A377">
        <f t="shared" si="5"/>
        <v>376</v>
      </c>
      <c r="B377" t="s">
        <v>499</v>
      </c>
      <c r="C377" t="s">
        <v>502</v>
      </c>
      <c r="D377" s="5">
        <v>0</v>
      </c>
      <c r="E377" s="10">
        <v>43032</v>
      </c>
    </row>
    <row r="378" spans="1:5" x14ac:dyDescent="0.35">
      <c r="A378">
        <f t="shared" si="5"/>
        <v>377</v>
      </c>
      <c r="B378" t="s">
        <v>501</v>
      </c>
      <c r="C378" t="s">
        <v>502</v>
      </c>
      <c r="D378" s="5">
        <v>767</v>
      </c>
      <c r="E378" s="10">
        <v>43032</v>
      </c>
    </row>
    <row r="379" spans="1:5" x14ac:dyDescent="0.35">
      <c r="A379">
        <f t="shared" si="5"/>
        <v>378</v>
      </c>
      <c r="B379" t="s">
        <v>497</v>
      </c>
      <c r="C379" t="s">
        <v>504</v>
      </c>
      <c r="D379" s="5">
        <v>1035</v>
      </c>
      <c r="E379" s="10">
        <v>43032</v>
      </c>
    </row>
    <row r="380" spans="1:5" x14ac:dyDescent="0.35">
      <c r="A380">
        <f t="shared" si="5"/>
        <v>379</v>
      </c>
      <c r="B380" t="s">
        <v>501</v>
      </c>
      <c r="C380" t="s">
        <v>504</v>
      </c>
      <c r="D380" s="5">
        <v>762</v>
      </c>
      <c r="E380" s="10">
        <v>43032</v>
      </c>
    </row>
    <row r="381" spans="1:5" x14ac:dyDescent="0.35">
      <c r="A381">
        <f t="shared" si="5"/>
        <v>380</v>
      </c>
      <c r="B381" t="s">
        <v>503</v>
      </c>
      <c r="C381" t="s">
        <v>504</v>
      </c>
      <c r="D381" s="5">
        <v>681</v>
      </c>
      <c r="E381" s="10">
        <v>43032</v>
      </c>
    </row>
    <row r="382" spans="1:5" x14ac:dyDescent="0.35">
      <c r="A382">
        <f t="shared" si="5"/>
        <v>381</v>
      </c>
      <c r="B382" t="s">
        <v>499</v>
      </c>
      <c r="C382" t="s">
        <v>498</v>
      </c>
      <c r="D382" s="5">
        <v>1157</v>
      </c>
      <c r="E382" s="10">
        <v>43032</v>
      </c>
    </row>
    <row r="383" spans="1:5" x14ac:dyDescent="0.35">
      <c r="A383">
        <f t="shared" si="5"/>
        <v>382</v>
      </c>
      <c r="B383" t="s">
        <v>497</v>
      </c>
      <c r="C383" t="s">
        <v>500</v>
      </c>
      <c r="D383" s="5">
        <v>0</v>
      </c>
      <c r="E383" s="10">
        <v>43032</v>
      </c>
    </row>
    <row r="384" spans="1:5" x14ac:dyDescent="0.35">
      <c r="A384">
        <f t="shared" si="5"/>
        <v>383</v>
      </c>
      <c r="B384" t="s">
        <v>499</v>
      </c>
      <c r="C384" t="s">
        <v>504</v>
      </c>
      <c r="D384" s="5">
        <v>0</v>
      </c>
      <c r="E384" s="10">
        <v>43032</v>
      </c>
    </row>
    <row r="385" spans="1:5" x14ac:dyDescent="0.35">
      <c r="A385">
        <f t="shared" si="5"/>
        <v>384</v>
      </c>
      <c r="B385" t="s">
        <v>501</v>
      </c>
      <c r="C385" t="s">
        <v>498</v>
      </c>
      <c r="D385" s="5">
        <v>743</v>
      </c>
      <c r="E385" s="10">
        <v>43032</v>
      </c>
    </row>
    <row r="386" spans="1:5" x14ac:dyDescent="0.35">
      <c r="A386">
        <f t="shared" si="5"/>
        <v>385</v>
      </c>
      <c r="B386" t="s">
        <v>503</v>
      </c>
      <c r="C386" t="s">
        <v>502</v>
      </c>
      <c r="D386" s="5">
        <v>1213</v>
      </c>
      <c r="E386" s="10">
        <v>43033</v>
      </c>
    </row>
    <row r="387" spans="1:5" x14ac:dyDescent="0.35">
      <c r="A387">
        <f t="shared" ref="A387:A417" si="6">A386+1</f>
        <v>386</v>
      </c>
      <c r="B387" t="s">
        <v>503</v>
      </c>
      <c r="C387" t="s">
        <v>498</v>
      </c>
      <c r="D387" s="5">
        <v>801</v>
      </c>
      <c r="E387" s="10">
        <v>43033</v>
      </c>
    </row>
    <row r="388" spans="1:5" x14ac:dyDescent="0.35">
      <c r="A388">
        <f t="shared" si="6"/>
        <v>387</v>
      </c>
      <c r="B388" t="s">
        <v>497</v>
      </c>
      <c r="C388" t="s">
        <v>504</v>
      </c>
      <c r="D388" s="5">
        <v>2406</v>
      </c>
      <c r="E388" s="10">
        <v>43033</v>
      </c>
    </row>
    <row r="389" spans="1:5" x14ac:dyDescent="0.35">
      <c r="A389">
        <f t="shared" si="6"/>
        <v>388</v>
      </c>
      <c r="B389" t="s">
        <v>503</v>
      </c>
      <c r="C389" t="s">
        <v>504</v>
      </c>
      <c r="D389" s="5">
        <v>729</v>
      </c>
      <c r="E389" s="10">
        <v>43033</v>
      </c>
    </row>
    <row r="390" spans="1:5" x14ac:dyDescent="0.35">
      <c r="A390">
        <f t="shared" si="6"/>
        <v>389</v>
      </c>
      <c r="B390" t="s">
        <v>497</v>
      </c>
      <c r="C390" t="s">
        <v>500</v>
      </c>
      <c r="D390" s="5">
        <v>1409</v>
      </c>
      <c r="E390" s="10">
        <v>43033</v>
      </c>
    </row>
    <row r="391" spans="1:5" x14ac:dyDescent="0.35">
      <c r="A391">
        <f t="shared" si="6"/>
        <v>390</v>
      </c>
      <c r="B391" t="s">
        <v>497</v>
      </c>
      <c r="C391" t="s">
        <v>502</v>
      </c>
      <c r="D391" s="5">
        <v>2083</v>
      </c>
      <c r="E391" s="10">
        <v>43033</v>
      </c>
    </row>
    <row r="392" spans="1:5" x14ac:dyDescent="0.35">
      <c r="A392">
        <f t="shared" si="6"/>
        <v>391</v>
      </c>
      <c r="B392" t="s">
        <v>499</v>
      </c>
      <c r="C392" t="s">
        <v>500</v>
      </c>
      <c r="D392" s="5">
        <v>1179</v>
      </c>
      <c r="E392" s="10">
        <v>43033</v>
      </c>
    </row>
    <row r="393" spans="1:5" x14ac:dyDescent="0.35">
      <c r="A393">
        <f t="shared" si="6"/>
        <v>392</v>
      </c>
      <c r="B393" t="s">
        <v>497</v>
      </c>
      <c r="C393" t="s">
        <v>498</v>
      </c>
      <c r="D393" s="5">
        <v>0</v>
      </c>
      <c r="E393" s="10">
        <v>43033</v>
      </c>
    </row>
    <row r="394" spans="1:5" x14ac:dyDescent="0.35">
      <c r="A394">
        <f t="shared" si="6"/>
        <v>393</v>
      </c>
      <c r="B394" t="s">
        <v>503</v>
      </c>
      <c r="C394" t="s">
        <v>500</v>
      </c>
      <c r="D394" s="5">
        <v>0</v>
      </c>
      <c r="E394" s="10">
        <v>43033</v>
      </c>
    </row>
    <row r="395" spans="1:5" x14ac:dyDescent="0.35">
      <c r="A395">
        <f t="shared" si="6"/>
        <v>394</v>
      </c>
      <c r="B395" t="s">
        <v>499</v>
      </c>
      <c r="C395" t="s">
        <v>498</v>
      </c>
      <c r="D395" s="5">
        <v>981</v>
      </c>
      <c r="E395" s="10">
        <v>43033</v>
      </c>
    </row>
    <row r="396" spans="1:5" x14ac:dyDescent="0.35">
      <c r="A396">
        <f t="shared" si="6"/>
        <v>395</v>
      </c>
      <c r="B396" t="s">
        <v>501</v>
      </c>
      <c r="C396" t="s">
        <v>500</v>
      </c>
      <c r="D396" s="5">
        <v>749</v>
      </c>
      <c r="E396" s="10">
        <v>43033</v>
      </c>
    </row>
    <row r="397" spans="1:5" x14ac:dyDescent="0.35">
      <c r="A397">
        <f t="shared" si="6"/>
        <v>396</v>
      </c>
      <c r="B397" t="s">
        <v>499</v>
      </c>
      <c r="C397" t="s">
        <v>504</v>
      </c>
      <c r="D397" s="5">
        <v>1069</v>
      </c>
      <c r="E397" s="10">
        <v>43033</v>
      </c>
    </row>
    <row r="398" spans="1:5" x14ac:dyDescent="0.35">
      <c r="A398">
        <f t="shared" si="6"/>
        <v>397</v>
      </c>
      <c r="B398" t="s">
        <v>501</v>
      </c>
      <c r="C398" t="s">
        <v>504</v>
      </c>
      <c r="D398" s="5">
        <v>0</v>
      </c>
      <c r="E398" s="10">
        <v>43033</v>
      </c>
    </row>
    <row r="399" spans="1:5" x14ac:dyDescent="0.35">
      <c r="A399">
        <f t="shared" si="6"/>
        <v>398</v>
      </c>
      <c r="B399" t="s">
        <v>501</v>
      </c>
      <c r="C399" t="s">
        <v>498</v>
      </c>
      <c r="D399" s="5">
        <v>838</v>
      </c>
      <c r="E399" s="10">
        <v>43033</v>
      </c>
    </row>
    <row r="400" spans="1:5" x14ac:dyDescent="0.35">
      <c r="A400">
        <f t="shared" si="6"/>
        <v>399</v>
      </c>
      <c r="B400" t="s">
        <v>499</v>
      </c>
      <c r="C400" t="s">
        <v>502</v>
      </c>
      <c r="D400" s="5">
        <v>1496</v>
      </c>
      <c r="E400" s="10">
        <v>43033</v>
      </c>
    </row>
    <row r="401" spans="1:5" x14ac:dyDescent="0.35">
      <c r="A401">
        <f t="shared" si="6"/>
        <v>400</v>
      </c>
      <c r="B401" t="s">
        <v>501</v>
      </c>
      <c r="C401" t="s">
        <v>502</v>
      </c>
      <c r="D401" s="5">
        <v>515</v>
      </c>
      <c r="E401" s="10">
        <v>43033</v>
      </c>
    </row>
    <row r="402" spans="1:5" x14ac:dyDescent="0.35">
      <c r="A402">
        <f t="shared" si="6"/>
        <v>401</v>
      </c>
      <c r="B402" t="s">
        <v>501</v>
      </c>
      <c r="C402" t="s">
        <v>498</v>
      </c>
      <c r="D402" s="5">
        <v>740</v>
      </c>
      <c r="E402" s="10">
        <v>43034</v>
      </c>
    </row>
    <row r="403" spans="1:5" x14ac:dyDescent="0.35">
      <c r="A403">
        <f t="shared" si="6"/>
        <v>402</v>
      </c>
      <c r="B403" t="s">
        <v>503</v>
      </c>
      <c r="C403" t="s">
        <v>502</v>
      </c>
      <c r="D403" s="5">
        <v>0</v>
      </c>
      <c r="E403" s="10">
        <v>43034</v>
      </c>
    </row>
    <row r="404" spans="1:5" x14ac:dyDescent="0.35">
      <c r="A404">
        <f t="shared" si="6"/>
        <v>403</v>
      </c>
      <c r="B404" t="s">
        <v>503</v>
      </c>
      <c r="C404" t="s">
        <v>500</v>
      </c>
      <c r="D404" s="5">
        <v>1044</v>
      </c>
      <c r="E404" s="10">
        <v>43034</v>
      </c>
    </row>
    <row r="405" spans="1:5" x14ac:dyDescent="0.35">
      <c r="A405">
        <f t="shared" si="6"/>
        <v>404</v>
      </c>
      <c r="B405" t="s">
        <v>499</v>
      </c>
      <c r="C405" t="s">
        <v>500</v>
      </c>
      <c r="D405" s="5">
        <v>1288</v>
      </c>
      <c r="E405" s="10">
        <v>43034</v>
      </c>
    </row>
    <row r="406" spans="1:5" x14ac:dyDescent="0.35">
      <c r="A406">
        <f t="shared" si="6"/>
        <v>405</v>
      </c>
      <c r="B406" t="s">
        <v>497</v>
      </c>
      <c r="C406" t="s">
        <v>500</v>
      </c>
      <c r="D406" s="5">
        <v>1466</v>
      </c>
      <c r="E406" s="10">
        <v>43034</v>
      </c>
    </row>
    <row r="407" spans="1:5" x14ac:dyDescent="0.35">
      <c r="A407">
        <f t="shared" si="6"/>
        <v>406</v>
      </c>
      <c r="B407" t="s">
        <v>497</v>
      </c>
      <c r="C407" t="s">
        <v>498</v>
      </c>
      <c r="D407" s="5">
        <v>1752</v>
      </c>
      <c r="E407" s="10">
        <v>43034</v>
      </c>
    </row>
    <row r="408" spans="1:5" x14ac:dyDescent="0.35">
      <c r="A408">
        <f t="shared" si="6"/>
        <v>407</v>
      </c>
      <c r="B408" t="s">
        <v>499</v>
      </c>
      <c r="C408" t="s">
        <v>498</v>
      </c>
      <c r="D408" s="5">
        <v>1404</v>
      </c>
      <c r="E408" s="10">
        <v>43034</v>
      </c>
    </row>
    <row r="409" spans="1:5" x14ac:dyDescent="0.35">
      <c r="A409">
        <f t="shared" si="6"/>
        <v>408</v>
      </c>
      <c r="B409" t="s">
        <v>497</v>
      </c>
      <c r="C409" t="s">
        <v>502</v>
      </c>
      <c r="D409" s="5">
        <v>1050</v>
      </c>
      <c r="E409" s="10">
        <v>43034</v>
      </c>
    </row>
    <row r="410" spans="1:5" x14ac:dyDescent="0.35">
      <c r="A410">
        <f t="shared" si="6"/>
        <v>409</v>
      </c>
      <c r="B410" t="s">
        <v>503</v>
      </c>
      <c r="C410" t="s">
        <v>504</v>
      </c>
      <c r="D410" s="5">
        <v>1243</v>
      </c>
      <c r="E410" s="10">
        <v>43034</v>
      </c>
    </row>
    <row r="411" spans="1:5" x14ac:dyDescent="0.35">
      <c r="A411">
        <f t="shared" si="6"/>
        <v>410</v>
      </c>
      <c r="B411" t="s">
        <v>499</v>
      </c>
      <c r="C411" t="s">
        <v>502</v>
      </c>
      <c r="D411" s="5">
        <v>0</v>
      </c>
      <c r="E411" s="10">
        <v>43034</v>
      </c>
    </row>
    <row r="412" spans="1:5" x14ac:dyDescent="0.35">
      <c r="A412">
        <f t="shared" si="6"/>
        <v>411</v>
      </c>
      <c r="B412" t="s">
        <v>499</v>
      </c>
      <c r="C412" t="s">
        <v>504</v>
      </c>
      <c r="D412" s="5">
        <v>1330</v>
      </c>
      <c r="E412" s="10">
        <v>43034</v>
      </c>
    </row>
    <row r="413" spans="1:5" x14ac:dyDescent="0.35">
      <c r="A413">
        <f t="shared" si="6"/>
        <v>412</v>
      </c>
      <c r="B413" t="s">
        <v>501</v>
      </c>
      <c r="C413" t="s">
        <v>504</v>
      </c>
      <c r="D413" s="5">
        <v>950</v>
      </c>
      <c r="E413" s="10">
        <v>43034</v>
      </c>
    </row>
    <row r="414" spans="1:5" x14ac:dyDescent="0.35">
      <c r="A414">
        <f t="shared" si="6"/>
        <v>413</v>
      </c>
      <c r="B414" t="s">
        <v>497</v>
      </c>
      <c r="C414" t="s">
        <v>504</v>
      </c>
      <c r="D414" s="5">
        <v>0</v>
      </c>
      <c r="E414" s="10">
        <v>43034</v>
      </c>
    </row>
    <row r="415" spans="1:5" x14ac:dyDescent="0.35">
      <c r="A415">
        <f t="shared" si="6"/>
        <v>414</v>
      </c>
      <c r="B415" t="s">
        <v>503</v>
      </c>
      <c r="C415" t="s">
        <v>498</v>
      </c>
      <c r="D415" s="5">
        <v>1793</v>
      </c>
      <c r="E415" s="10">
        <v>43034</v>
      </c>
    </row>
    <row r="416" spans="1:5" x14ac:dyDescent="0.35">
      <c r="A416">
        <f t="shared" si="6"/>
        <v>415</v>
      </c>
      <c r="B416" t="s">
        <v>501</v>
      </c>
      <c r="C416" t="s">
        <v>502</v>
      </c>
      <c r="D416" s="5">
        <v>686</v>
      </c>
      <c r="E416" s="10">
        <v>43034</v>
      </c>
    </row>
    <row r="417" spans="1:5" x14ac:dyDescent="0.35">
      <c r="A417">
        <f t="shared" si="6"/>
        <v>416</v>
      </c>
      <c r="B417" t="s">
        <v>501</v>
      </c>
      <c r="C417" t="s">
        <v>500</v>
      </c>
      <c r="D417" s="5">
        <v>837</v>
      </c>
      <c r="E417" s="10">
        <v>43034</v>
      </c>
    </row>
    <row r="418" spans="1:5" x14ac:dyDescent="0.35">
      <c r="A418">
        <v>1</v>
      </c>
      <c r="B418" t="s">
        <v>497</v>
      </c>
      <c r="C418" t="s">
        <v>498</v>
      </c>
      <c r="D418" s="5">
        <v>1250</v>
      </c>
      <c r="E418" s="10">
        <v>43035</v>
      </c>
    </row>
    <row r="419" spans="1:5" x14ac:dyDescent="0.35">
      <c r="A419">
        <f t="shared" ref="A419:A450" si="7">A418+1</f>
        <v>2</v>
      </c>
      <c r="B419" t="s">
        <v>501</v>
      </c>
      <c r="C419" t="s">
        <v>498</v>
      </c>
      <c r="D419" s="5">
        <v>699</v>
      </c>
      <c r="E419" s="10">
        <v>43035</v>
      </c>
    </row>
    <row r="420" spans="1:5" x14ac:dyDescent="0.35">
      <c r="A420">
        <f t="shared" si="7"/>
        <v>3</v>
      </c>
      <c r="B420" t="s">
        <v>497</v>
      </c>
      <c r="C420" t="s">
        <v>500</v>
      </c>
      <c r="D420" s="5">
        <v>0</v>
      </c>
      <c r="E420" s="10">
        <v>43035</v>
      </c>
    </row>
    <row r="421" spans="1:5" x14ac:dyDescent="0.35">
      <c r="A421">
        <f t="shared" si="7"/>
        <v>4</v>
      </c>
      <c r="B421" t="s">
        <v>497</v>
      </c>
      <c r="C421" t="s">
        <v>504</v>
      </c>
      <c r="D421" s="5">
        <v>1683</v>
      </c>
      <c r="E421" s="10">
        <v>43035</v>
      </c>
    </row>
    <row r="422" spans="1:5" x14ac:dyDescent="0.35">
      <c r="A422">
        <f t="shared" si="7"/>
        <v>5</v>
      </c>
      <c r="B422" t="s">
        <v>499</v>
      </c>
      <c r="C422" t="s">
        <v>498</v>
      </c>
      <c r="D422" s="5">
        <v>0</v>
      </c>
      <c r="E422" s="10">
        <v>43035</v>
      </c>
    </row>
    <row r="423" spans="1:5" x14ac:dyDescent="0.35">
      <c r="A423">
        <f t="shared" si="7"/>
        <v>6</v>
      </c>
      <c r="B423" t="s">
        <v>499</v>
      </c>
      <c r="C423" t="s">
        <v>500</v>
      </c>
      <c r="D423" s="5">
        <v>1303</v>
      </c>
      <c r="E423" s="10">
        <v>43035</v>
      </c>
    </row>
    <row r="424" spans="1:5" x14ac:dyDescent="0.35">
      <c r="A424">
        <f t="shared" si="7"/>
        <v>7</v>
      </c>
      <c r="B424" t="s">
        <v>503</v>
      </c>
      <c r="C424" t="s">
        <v>500</v>
      </c>
      <c r="D424" s="5">
        <v>1154</v>
      </c>
      <c r="E424" s="10">
        <v>43035</v>
      </c>
    </row>
    <row r="425" spans="1:5" x14ac:dyDescent="0.35">
      <c r="A425">
        <f t="shared" si="7"/>
        <v>8</v>
      </c>
      <c r="B425" t="s">
        <v>503</v>
      </c>
      <c r="C425" t="s">
        <v>498</v>
      </c>
      <c r="D425" s="5">
        <v>1105</v>
      </c>
      <c r="E425" s="10">
        <v>43035</v>
      </c>
    </row>
    <row r="426" spans="1:5" x14ac:dyDescent="0.35">
      <c r="A426">
        <f t="shared" si="7"/>
        <v>9</v>
      </c>
      <c r="B426" t="s">
        <v>499</v>
      </c>
      <c r="C426" t="s">
        <v>504</v>
      </c>
      <c r="D426" s="5">
        <v>1325</v>
      </c>
      <c r="E426" s="10">
        <v>43035</v>
      </c>
    </row>
    <row r="427" spans="1:5" x14ac:dyDescent="0.35">
      <c r="A427">
        <f t="shared" si="7"/>
        <v>10</v>
      </c>
      <c r="B427" t="s">
        <v>503</v>
      </c>
      <c r="C427" t="s">
        <v>504</v>
      </c>
      <c r="D427" s="5">
        <v>0</v>
      </c>
      <c r="E427" s="10">
        <v>43035</v>
      </c>
    </row>
    <row r="428" spans="1:5" x14ac:dyDescent="0.35">
      <c r="A428">
        <f t="shared" si="7"/>
        <v>11</v>
      </c>
      <c r="B428" t="s">
        <v>501</v>
      </c>
      <c r="C428" t="s">
        <v>500</v>
      </c>
      <c r="D428" s="5">
        <v>0</v>
      </c>
      <c r="E428" s="10">
        <v>43035</v>
      </c>
    </row>
    <row r="429" spans="1:5" x14ac:dyDescent="0.35">
      <c r="A429">
        <f t="shared" si="7"/>
        <v>12</v>
      </c>
      <c r="B429" t="s">
        <v>501</v>
      </c>
      <c r="C429" t="s">
        <v>502</v>
      </c>
      <c r="D429" s="5">
        <v>528</v>
      </c>
      <c r="E429" s="10">
        <v>43035</v>
      </c>
    </row>
    <row r="430" spans="1:5" x14ac:dyDescent="0.35">
      <c r="A430">
        <f t="shared" si="7"/>
        <v>13</v>
      </c>
      <c r="B430" t="s">
        <v>497</v>
      </c>
      <c r="C430" t="s">
        <v>502</v>
      </c>
      <c r="D430" s="5">
        <v>2326</v>
      </c>
      <c r="E430" s="10">
        <v>43035</v>
      </c>
    </row>
    <row r="431" spans="1:5" x14ac:dyDescent="0.35">
      <c r="A431">
        <f t="shared" si="7"/>
        <v>14</v>
      </c>
      <c r="B431" t="s">
        <v>499</v>
      </c>
      <c r="C431" t="s">
        <v>502</v>
      </c>
      <c r="D431" s="5">
        <v>1060</v>
      </c>
      <c r="E431" s="10">
        <v>43035</v>
      </c>
    </row>
    <row r="432" spans="1:5" x14ac:dyDescent="0.35">
      <c r="A432">
        <f t="shared" si="7"/>
        <v>15</v>
      </c>
      <c r="B432" t="s">
        <v>503</v>
      </c>
      <c r="C432" t="s">
        <v>502</v>
      </c>
      <c r="D432" s="5">
        <v>0</v>
      </c>
      <c r="E432" s="10">
        <v>43035</v>
      </c>
    </row>
    <row r="433" spans="1:5" x14ac:dyDescent="0.35">
      <c r="A433">
        <f t="shared" si="7"/>
        <v>16</v>
      </c>
      <c r="B433" t="s">
        <v>501</v>
      </c>
      <c r="C433" t="s">
        <v>504</v>
      </c>
      <c r="D433" s="5">
        <v>0</v>
      </c>
      <c r="E433" s="10">
        <v>43035</v>
      </c>
    </row>
    <row r="434" spans="1:5" x14ac:dyDescent="0.35">
      <c r="A434">
        <f t="shared" si="7"/>
        <v>17</v>
      </c>
      <c r="B434" t="s">
        <v>497</v>
      </c>
      <c r="C434" t="s">
        <v>500</v>
      </c>
      <c r="D434" s="5">
        <v>1628</v>
      </c>
      <c r="E434" s="10">
        <v>43036</v>
      </c>
    </row>
    <row r="435" spans="1:5" x14ac:dyDescent="0.35">
      <c r="A435">
        <f t="shared" si="7"/>
        <v>18</v>
      </c>
      <c r="B435" t="s">
        <v>499</v>
      </c>
      <c r="C435" t="s">
        <v>500</v>
      </c>
      <c r="D435" s="5">
        <v>941</v>
      </c>
      <c r="E435" s="10">
        <v>43036</v>
      </c>
    </row>
    <row r="436" spans="1:5" x14ac:dyDescent="0.35">
      <c r="A436">
        <f t="shared" si="7"/>
        <v>19</v>
      </c>
      <c r="B436" t="s">
        <v>501</v>
      </c>
      <c r="C436" t="s">
        <v>502</v>
      </c>
      <c r="D436" s="5">
        <v>671</v>
      </c>
      <c r="E436" s="10">
        <v>43036</v>
      </c>
    </row>
    <row r="437" spans="1:5" x14ac:dyDescent="0.35">
      <c r="A437">
        <f t="shared" si="7"/>
        <v>20</v>
      </c>
      <c r="B437" t="s">
        <v>499</v>
      </c>
      <c r="C437" t="s">
        <v>498</v>
      </c>
      <c r="D437" s="5">
        <v>925</v>
      </c>
      <c r="E437" s="10">
        <v>43036</v>
      </c>
    </row>
    <row r="438" spans="1:5" x14ac:dyDescent="0.35">
      <c r="A438">
        <f t="shared" si="7"/>
        <v>21</v>
      </c>
      <c r="B438" t="s">
        <v>501</v>
      </c>
      <c r="C438" t="s">
        <v>498</v>
      </c>
      <c r="D438" s="5">
        <v>905</v>
      </c>
      <c r="E438" s="10">
        <v>43036</v>
      </c>
    </row>
    <row r="439" spans="1:5" x14ac:dyDescent="0.35">
      <c r="A439">
        <f t="shared" si="7"/>
        <v>22</v>
      </c>
      <c r="B439" t="s">
        <v>503</v>
      </c>
      <c r="C439" t="s">
        <v>500</v>
      </c>
      <c r="D439" s="5">
        <v>850</v>
      </c>
      <c r="E439" s="10">
        <v>43036</v>
      </c>
    </row>
    <row r="440" spans="1:5" x14ac:dyDescent="0.35">
      <c r="A440">
        <f t="shared" si="7"/>
        <v>23</v>
      </c>
      <c r="B440" t="s">
        <v>497</v>
      </c>
      <c r="C440" t="s">
        <v>498</v>
      </c>
      <c r="D440" s="5">
        <v>1261</v>
      </c>
      <c r="E440" s="10">
        <v>43036</v>
      </c>
    </row>
    <row r="441" spans="1:5" x14ac:dyDescent="0.35">
      <c r="A441">
        <f t="shared" si="7"/>
        <v>24</v>
      </c>
      <c r="B441" t="s">
        <v>503</v>
      </c>
      <c r="C441" t="s">
        <v>502</v>
      </c>
      <c r="D441" s="5">
        <v>1774</v>
      </c>
      <c r="E441" s="10">
        <v>43036</v>
      </c>
    </row>
    <row r="442" spans="1:5" x14ac:dyDescent="0.35">
      <c r="A442">
        <f t="shared" si="7"/>
        <v>25</v>
      </c>
      <c r="B442" t="s">
        <v>497</v>
      </c>
      <c r="C442" t="s">
        <v>502</v>
      </c>
      <c r="D442" s="5">
        <v>1298</v>
      </c>
      <c r="E442" s="10">
        <v>43036</v>
      </c>
    </row>
    <row r="443" spans="1:5" x14ac:dyDescent="0.35">
      <c r="A443">
        <f t="shared" si="7"/>
        <v>26</v>
      </c>
      <c r="B443" t="s">
        <v>501</v>
      </c>
      <c r="C443" t="s">
        <v>500</v>
      </c>
      <c r="D443" s="5">
        <v>904</v>
      </c>
      <c r="E443" s="10">
        <v>43036</v>
      </c>
    </row>
    <row r="444" spans="1:5" x14ac:dyDescent="0.35">
      <c r="A444">
        <f t="shared" si="7"/>
        <v>27</v>
      </c>
      <c r="B444" t="s">
        <v>499</v>
      </c>
      <c r="C444" t="s">
        <v>504</v>
      </c>
      <c r="D444" s="5">
        <v>0</v>
      </c>
      <c r="E444" s="10">
        <v>43036</v>
      </c>
    </row>
    <row r="445" spans="1:5" x14ac:dyDescent="0.35">
      <c r="A445">
        <f t="shared" si="7"/>
        <v>28</v>
      </c>
      <c r="B445" t="s">
        <v>499</v>
      </c>
      <c r="C445" t="s">
        <v>502</v>
      </c>
      <c r="D445" s="5">
        <v>1137</v>
      </c>
      <c r="E445" s="10">
        <v>43036</v>
      </c>
    </row>
    <row r="446" spans="1:5" x14ac:dyDescent="0.35">
      <c r="A446">
        <f t="shared" si="7"/>
        <v>29</v>
      </c>
      <c r="B446" t="s">
        <v>503</v>
      </c>
      <c r="C446" t="s">
        <v>498</v>
      </c>
      <c r="D446" s="5">
        <v>1976</v>
      </c>
      <c r="E446" s="10">
        <v>43036</v>
      </c>
    </row>
    <row r="447" spans="1:5" x14ac:dyDescent="0.35">
      <c r="A447">
        <f t="shared" si="7"/>
        <v>30</v>
      </c>
      <c r="B447" t="s">
        <v>501</v>
      </c>
      <c r="C447" t="s">
        <v>504</v>
      </c>
      <c r="D447" s="5">
        <v>543</v>
      </c>
      <c r="E447" s="10">
        <v>43036</v>
      </c>
    </row>
    <row r="448" spans="1:5" x14ac:dyDescent="0.35">
      <c r="A448">
        <f t="shared" si="7"/>
        <v>31</v>
      </c>
      <c r="B448" t="s">
        <v>503</v>
      </c>
      <c r="C448" t="s">
        <v>504</v>
      </c>
      <c r="D448" s="5">
        <v>1021</v>
      </c>
      <c r="E448" s="10">
        <v>43036</v>
      </c>
    </row>
    <row r="449" spans="1:5" x14ac:dyDescent="0.35">
      <c r="A449">
        <f t="shared" si="7"/>
        <v>32</v>
      </c>
      <c r="B449" t="s">
        <v>497</v>
      </c>
      <c r="C449" t="s">
        <v>504</v>
      </c>
      <c r="D449" s="5">
        <v>1887</v>
      </c>
      <c r="E449" s="10">
        <v>43036</v>
      </c>
    </row>
    <row r="450" spans="1:5" x14ac:dyDescent="0.35">
      <c r="A450">
        <f t="shared" si="7"/>
        <v>33</v>
      </c>
      <c r="B450" t="s">
        <v>503</v>
      </c>
      <c r="C450" t="s">
        <v>500</v>
      </c>
      <c r="D450" s="5">
        <v>1175</v>
      </c>
      <c r="E450" s="10">
        <v>43037</v>
      </c>
    </row>
    <row r="451" spans="1:5" x14ac:dyDescent="0.35">
      <c r="A451">
        <f t="shared" ref="A451:A482" si="8">A450+1</f>
        <v>34</v>
      </c>
      <c r="B451" t="s">
        <v>503</v>
      </c>
      <c r="C451" t="s">
        <v>498</v>
      </c>
      <c r="D451" s="5">
        <v>754</v>
      </c>
      <c r="E451" s="10">
        <v>43037</v>
      </c>
    </row>
    <row r="452" spans="1:5" x14ac:dyDescent="0.35">
      <c r="A452">
        <f t="shared" si="8"/>
        <v>35</v>
      </c>
      <c r="B452" t="s">
        <v>499</v>
      </c>
      <c r="C452" t="s">
        <v>498</v>
      </c>
      <c r="D452" s="5">
        <v>0</v>
      </c>
      <c r="E452" s="10">
        <v>43037</v>
      </c>
    </row>
    <row r="453" spans="1:5" x14ac:dyDescent="0.35">
      <c r="A453">
        <f t="shared" si="8"/>
        <v>36</v>
      </c>
      <c r="B453" t="s">
        <v>501</v>
      </c>
      <c r="C453" t="s">
        <v>502</v>
      </c>
      <c r="D453" s="5">
        <v>697</v>
      </c>
      <c r="E453" s="10">
        <v>43037</v>
      </c>
    </row>
    <row r="454" spans="1:5" x14ac:dyDescent="0.35">
      <c r="A454">
        <f t="shared" si="8"/>
        <v>37</v>
      </c>
      <c r="B454" t="s">
        <v>503</v>
      </c>
      <c r="C454" t="s">
        <v>502</v>
      </c>
      <c r="D454" s="5">
        <v>1227</v>
      </c>
      <c r="E454" s="10">
        <v>43037</v>
      </c>
    </row>
    <row r="455" spans="1:5" x14ac:dyDescent="0.35">
      <c r="A455">
        <f t="shared" si="8"/>
        <v>38</v>
      </c>
      <c r="B455" t="s">
        <v>497</v>
      </c>
      <c r="C455" t="s">
        <v>500</v>
      </c>
      <c r="D455" s="5">
        <v>0</v>
      </c>
      <c r="E455" s="10">
        <v>43037</v>
      </c>
    </row>
    <row r="456" spans="1:5" x14ac:dyDescent="0.35">
      <c r="A456">
        <f t="shared" si="8"/>
        <v>39</v>
      </c>
      <c r="B456" t="s">
        <v>497</v>
      </c>
      <c r="C456" t="s">
        <v>502</v>
      </c>
      <c r="D456" s="5">
        <v>0</v>
      </c>
      <c r="E456" s="10">
        <v>43037</v>
      </c>
    </row>
    <row r="457" spans="1:5" x14ac:dyDescent="0.35">
      <c r="A457">
        <f t="shared" si="8"/>
        <v>40</v>
      </c>
      <c r="B457" t="s">
        <v>497</v>
      </c>
      <c r="C457" t="s">
        <v>498</v>
      </c>
      <c r="D457" s="5">
        <v>0</v>
      </c>
      <c r="E457" s="10">
        <v>43037</v>
      </c>
    </row>
    <row r="458" spans="1:5" x14ac:dyDescent="0.35">
      <c r="A458">
        <f t="shared" si="8"/>
        <v>41</v>
      </c>
      <c r="B458" t="s">
        <v>501</v>
      </c>
      <c r="C458" t="s">
        <v>504</v>
      </c>
      <c r="D458" s="5">
        <v>933</v>
      </c>
      <c r="E458" s="10">
        <v>43037</v>
      </c>
    </row>
    <row r="459" spans="1:5" x14ac:dyDescent="0.35">
      <c r="A459">
        <f t="shared" si="8"/>
        <v>42</v>
      </c>
      <c r="B459" t="s">
        <v>497</v>
      </c>
      <c r="C459" t="s">
        <v>504</v>
      </c>
      <c r="D459" s="5">
        <v>1164</v>
      </c>
      <c r="E459" s="10">
        <v>43037</v>
      </c>
    </row>
    <row r="460" spans="1:5" x14ac:dyDescent="0.35">
      <c r="A460">
        <f t="shared" si="8"/>
        <v>43</v>
      </c>
      <c r="B460" t="s">
        <v>501</v>
      </c>
      <c r="C460" t="s">
        <v>498</v>
      </c>
      <c r="D460" s="5">
        <v>764</v>
      </c>
      <c r="E460" s="10">
        <v>43037</v>
      </c>
    </row>
    <row r="461" spans="1:5" x14ac:dyDescent="0.35">
      <c r="A461">
        <f t="shared" si="8"/>
        <v>44</v>
      </c>
      <c r="B461" t="s">
        <v>499</v>
      </c>
      <c r="C461" t="s">
        <v>500</v>
      </c>
      <c r="D461" s="5">
        <v>0</v>
      </c>
      <c r="E461" s="10">
        <v>43037</v>
      </c>
    </row>
    <row r="462" spans="1:5" x14ac:dyDescent="0.35">
      <c r="A462">
        <f t="shared" si="8"/>
        <v>45</v>
      </c>
      <c r="B462" t="s">
        <v>503</v>
      </c>
      <c r="C462" t="s">
        <v>504</v>
      </c>
      <c r="D462" s="5">
        <v>1950</v>
      </c>
      <c r="E462" s="10">
        <v>43037</v>
      </c>
    </row>
    <row r="463" spans="1:5" x14ac:dyDescent="0.35">
      <c r="A463">
        <f t="shared" si="8"/>
        <v>46</v>
      </c>
      <c r="B463" t="s">
        <v>501</v>
      </c>
      <c r="C463" t="s">
        <v>500</v>
      </c>
      <c r="D463" s="5">
        <v>0</v>
      </c>
      <c r="E463" s="10">
        <v>43037</v>
      </c>
    </row>
    <row r="464" spans="1:5" x14ac:dyDescent="0.35">
      <c r="A464">
        <f t="shared" si="8"/>
        <v>47</v>
      </c>
      <c r="B464" t="s">
        <v>499</v>
      </c>
      <c r="C464" t="s">
        <v>504</v>
      </c>
      <c r="D464" s="5">
        <v>1338</v>
      </c>
      <c r="E464" s="10">
        <v>43037</v>
      </c>
    </row>
    <row r="465" spans="1:5" x14ac:dyDescent="0.35">
      <c r="A465">
        <f t="shared" si="8"/>
        <v>48</v>
      </c>
      <c r="B465" t="s">
        <v>499</v>
      </c>
      <c r="C465" t="s">
        <v>502</v>
      </c>
      <c r="D465" s="5">
        <v>1464</v>
      </c>
      <c r="E465" s="10">
        <v>43037</v>
      </c>
    </row>
    <row r="466" spans="1:5" x14ac:dyDescent="0.35">
      <c r="A466">
        <f t="shared" si="8"/>
        <v>49</v>
      </c>
      <c r="B466" t="s">
        <v>503</v>
      </c>
      <c r="C466" t="s">
        <v>502</v>
      </c>
      <c r="D466" s="5">
        <v>0</v>
      </c>
      <c r="E466" s="10">
        <v>43038</v>
      </c>
    </row>
    <row r="467" spans="1:5" x14ac:dyDescent="0.35">
      <c r="A467">
        <f t="shared" si="8"/>
        <v>50</v>
      </c>
      <c r="B467" t="s">
        <v>501</v>
      </c>
      <c r="C467" t="s">
        <v>502</v>
      </c>
      <c r="D467" s="5">
        <v>731</v>
      </c>
      <c r="E467" s="10">
        <v>43038</v>
      </c>
    </row>
    <row r="468" spans="1:5" x14ac:dyDescent="0.35">
      <c r="A468">
        <f t="shared" si="8"/>
        <v>51</v>
      </c>
      <c r="B468" t="s">
        <v>499</v>
      </c>
      <c r="C468" t="s">
        <v>500</v>
      </c>
      <c r="D468" s="5">
        <v>0</v>
      </c>
      <c r="E468" s="10">
        <v>43038</v>
      </c>
    </row>
    <row r="469" spans="1:5" x14ac:dyDescent="0.35">
      <c r="A469">
        <f t="shared" si="8"/>
        <v>52</v>
      </c>
      <c r="B469" t="s">
        <v>497</v>
      </c>
      <c r="C469" t="s">
        <v>504</v>
      </c>
      <c r="D469" s="5">
        <v>1228</v>
      </c>
      <c r="E469" s="10">
        <v>43038</v>
      </c>
    </row>
    <row r="470" spans="1:5" x14ac:dyDescent="0.35">
      <c r="A470">
        <f t="shared" si="8"/>
        <v>53</v>
      </c>
      <c r="B470" t="s">
        <v>503</v>
      </c>
      <c r="C470" t="s">
        <v>504</v>
      </c>
      <c r="D470" s="5">
        <v>1305</v>
      </c>
      <c r="E470" s="10">
        <v>43038</v>
      </c>
    </row>
    <row r="471" spans="1:5" x14ac:dyDescent="0.35">
      <c r="A471">
        <f t="shared" si="8"/>
        <v>54</v>
      </c>
      <c r="B471" t="s">
        <v>501</v>
      </c>
      <c r="C471" t="s">
        <v>504</v>
      </c>
      <c r="D471" s="5">
        <v>0</v>
      </c>
      <c r="E471" s="10">
        <v>43038</v>
      </c>
    </row>
    <row r="472" spans="1:5" x14ac:dyDescent="0.35">
      <c r="A472">
        <f t="shared" si="8"/>
        <v>55</v>
      </c>
      <c r="B472" t="s">
        <v>499</v>
      </c>
      <c r="C472" t="s">
        <v>502</v>
      </c>
      <c r="D472" s="5">
        <v>1133</v>
      </c>
      <c r="E472" s="10">
        <v>43038</v>
      </c>
    </row>
    <row r="473" spans="1:5" x14ac:dyDescent="0.35">
      <c r="A473">
        <f t="shared" si="8"/>
        <v>56</v>
      </c>
      <c r="B473" t="s">
        <v>499</v>
      </c>
      <c r="C473" t="s">
        <v>504</v>
      </c>
      <c r="D473" s="5">
        <v>0</v>
      </c>
      <c r="E473" s="10">
        <v>43038</v>
      </c>
    </row>
    <row r="474" spans="1:5" x14ac:dyDescent="0.35">
      <c r="A474">
        <f t="shared" si="8"/>
        <v>57</v>
      </c>
      <c r="B474" t="s">
        <v>497</v>
      </c>
      <c r="C474" t="s">
        <v>502</v>
      </c>
      <c r="D474" s="5">
        <v>803</v>
      </c>
      <c r="E474" s="10">
        <v>43038</v>
      </c>
    </row>
    <row r="475" spans="1:5" x14ac:dyDescent="0.35">
      <c r="A475">
        <f t="shared" si="8"/>
        <v>58</v>
      </c>
      <c r="B475" t="s">
        <v>503</v>
      </c>
      <c r="C475" t="s">
        <v>498</v>
      </c>
      <c r="D475" s="5">
        <v>0</v>
      </c>
      <c r="E475" s="10">
        <v>43038</v>
      </c>
    </row>
    <row r="476" spans="1:5" x14ac:dyDescent="0.35">
      <c r="A476">
        <f t="shared" si="8"/>
        <v>59</v>
      </c>
      <c r="B476" t="s">
        <v>499</v>
      </c>
      <c r="C476" t="s">
        <v>498</v>
      </c>
      <c r="D476" s="5">
        <v>1227</v>
      </c>
      <c r="E476" s="10">
        <v>43038</v>
      </c>
    </row>
    <row r="477" spans="1:5" x14ac:dyDescent="0.35">
      <c r="A477">
        <f t="shared" si="8"/>
        <v>60</v>
      </c>
      <c r="B477" t="s">
        <v>501</v>
      </c>
      <c r="C477" t="s">
        <v>500</v>
      </c>
      <c r="D477" s="5">
        <v>553</v>
      </c>
      <c r="E477" s="10">
        <v>43038</v>
      </c>
    </row>
    <row r="478" spans="1:5" x14ac:dyDescent="0.35">
      <c r="A478">
        <f t="shared" si="8"/>
        <v>61</v>
      </c>
      <c r="B478" t="s">
        <v>497</v>
      </c>
      <c r="C478" t="s">
        <v>500</v>
      </c>
      <c r="D478" s="5">
        <v>1281</v>
      </c>
      <c r="E478" s="10">
        <v>43038</v>
      </c>
    </row>
    <row r="479" spans="1:5" x14ac:dyDescent="0.35">
      <c r="A479">
        <f t="shared" si="8"/>
        <v>62</v>
      </c>
      <c r="B479" t="s">
        <v>497</v>
      </c>
      <c r="C479" t="s">
        <v>498</v>
      </c>
      <c r="D479" s="5">
        <v>0</v>
      </c>
      <c r="E479" s="10">
        <v>43038</v>
      </c>
    </row>
    <row r="480" spans="1:5" x14ac:dyDescent="0.35">
      <c r="A480">
        <f t="shared" si="8"/>
        <v>63</v>
      </c>
      <c r="B480" t="s">
        <v>501</v>
      </c>
      <c r="C480" t="s">
        <v>498</v>
      </c>
      <c r="D480" s="5">
        <v>695</v>
      </c>
      <c r="E480" s="10">
        <v>43038</v>
      </c>
    </row>
    <row r="481" spans="1:5" x14ac:dyDescent="0.35">
      <c r="A481">
        <f t="shared" si="8"/>
        <v>64</v>
      </c>
      <c r="B481" t="s">
        <v>503</v>
      </c>
      <c r="C481" t="s">
        <v>500</v>
      </c>
      <c r="D481" s="5">
        <v>660</v>
      </c>
      <c r="E481" s="10">
        <v>43038</v>
      </c>
    </row>
    <row r="482" spans="1:5" x14ac:dyDescent="0.35">
      <c r="A482">
        <f t="shared" si="8"/>
        <v>65</v>
      </c>
      <c r="B482" t="s">
        <v>499</v>
      </c>
      <c r="C482" t="s">
        <v>502</v>
      </c>
      <c r="D482" s="5">
        <v>1305</v>
      </c>
      <c r="E482" s="10">
        <v>43039</v>
      </c>
    </row>
    <row r="483" spans="1:5" x14ac:dyDescent="0.35">
      <c r="A483">
        <f t="shared" ref="A483:A497" si="9">A482+1</f>
        <v>66</v>
      </c>
      <c r="B483" t="s">
        <v>499</v>
      </c>
      <c r="C483" t="s">
        <v>504</v>
      </c>
      <c r="D483" s="5">
        <v>1142</v>
      </c>
      <c r="E483" s="10">
        <v>43039</v>
      </c>
    </row>
    <row r="484" spans="1:5" x14ac:dyDescent="0.35">
      <c r="A484">
        <f t="shared" si="9"/>
        <v>67</v>
      </c>
      <c r="B484" t="s">
        <v>499</v>
      </c>
      <c r="C484" t="s">
        <v>498</v>
      </c>
      <c r="D484" s="5">
        <v>1155</v>
      </c>
      <c r="E484" s="10">
        <v>43039</v>
      </c>
    </row>
    <row r="485" spans="1:5" x14ac:dyDescent="0.35">
      <c r="A485">
        <f t="shared" si="9"/>
        <v>68</v>
      </c>
      <c r="B485" t="s">
        <v>501</v>
      </c>
      <c r="C485" t="s">
        <v>504</v>
      </c>
      <c r="D485" s="5">
        <v>906</v>
      </c>
      <c r="E485" s="10">
        <v>43039</v>
      </c>
    </row>
    <row r="486" spans="1:5" x14ac:dyDescent="0.35">
      <c r="A486">
        <f t="shared" si="9"/>
        <v>69</v>
      </c>
      <c r="B486" t="s">
        <v>503</v>
      </c>
      <c r="C486" t="s">
        <v>504</v>
      </c>
      <c r="D486" s="5">
        <v>874</v>
      </c>
      <c r="E486" s="10">
        <v>43039</v>
      </c>
    </row>
    <row r="487" spans="1:5" x14ac:dyDescent="0.35">
      <c r="A487">
        <f t="shared" si="9"/>
        <v>70</v>
      </c>
      <c r="B487" t="s">
        <v>497</v>
      </c>
      <c r="C487" t="s">
        <v>500</v>
      </c>
      <c r="D487" s="5">
        <v>1562</v>
      </c>
      <c r="E487" s="10">
        <v>43039</v>
      </c>
    </row>
    <row r="488" spans="1:5" x14ac:dyDescent="0.35">
      <c r="A488">
        <f t="shared" si="9"/>
        <v>71</v>
      </c>
      <c r="B488" t="s">
        <v>501</v>
      </c>
      <c r="C488" t="s">
        <v>498</v>
      </c>
      <c r="D488" s="5">
        <v>0</v>
      </c>
      <c r="E488" s="10">
        <v>43039</v>
      </c>
    </row>
    <row r="489" spans="1:5" x14ac:dyDescent="0.35">
      <c r="A489">
        <f t="shared" si="9"/>
        <v>72</v>
      </c>
      <c r="B489" t="s">
        <v>503</v>
      </c>
      <c r="C489" t="s">
        <v>498</v>
      </c>
      <c r="D489" s="5">
        <v>0</v>
      </c>
      <c r="E489" s="10">
        <v>43039</v>
      </c>
    </row>
    <row r="490" spans="1:5" x14ac:dyDescent="0.35">
      <c r="A490">
        <f t="shared" si="9"/>
        <v>73</v>
      </c>
      <c r="B490" t="s">
        <v>503</v>
      </c>
      <c r="C490" t="s">
        <v>502</v>
      </c>
      <c r="D490" s="5">
        <v>0</v>
      </c>
      <c r="E490" s="10">
        <v>43039</v>
      </c>
    </row>
    <row r="491" spans="1:5" x14ac:dyDescent="0.35">
      <c r="A491">
        <f t="shared" si="9"/>
        <v>74</v>
      </c>
      <c r="B491" t="s">
        <v>501</v>
      </c>
      <c r="C491" t="s">
        <v>502</v>
      </c>
      <c r="D491" s="5">
        <v>900</v>
      </c>
      <c r="E491" s="10">
        <v>43039</v>
      </c>
    </row>
    <row r="492" spans="1:5" x14ac:dyDescent="0.35">
      <c r="A492">
        <f t="shared" si="9"/>
        <v>75</v>
      </c>
      <c r="B492" t="s">
        <v>497</v>
      </c>
      <c r="C492" t="s">
        <v>498</v>
      </c>
      <c r="D492" s="5">
        <v>1381</v>
      </c>
      <c r="E492" s="10">
        <v>43039</v>
      </c>
    </row>
    <row r="493" spans="1:5" x14ac:dyDescent="0.35">
      <c r="A493">
        <f t="shared" si="9"/>
        <v>76</v>
      </c>
      <c r="B493" t="s">
        <v>499</v>
      </c>
      <c r="C493" t="s">
        <v>500</v>
      </c>
      <c r="D493" s="5">
        <v>1247</v>
      </c>
      <c r="E493" s="10">
        <v>43039</v>
      </c>
    </row>
    <row r="494" spans="1:5" x14ac:dyDescent="0.35">
      <c r="A494">
        <f t="shared" si="9"/>
        <v>77</v>
      </c>
      <c r="B494" t="s">
        <v>501</v>
      </c>
      <c r="C494" t="s">
        <v>500</v>
      </c>
      <c r="D494" s="5">
        <v>629</v>
      </c>
      <c r="E494" s="10">
        <v>43039</v>
      </c>
    </row>
    <row r="495" spans="1:5" x14ac:dyDescent="0.35">
      <c r="A495">
        <f t="shared" si="9"/>
        <v>78</v>
      </c>
      <c r="B495" t="s">
        <v>497</v>
      </c>
      <c r="C495" t="s">
        <v>504</v>
      </c>
      <c r="D495" s="5">
        <v>1364</v>
      </c>
      <c r="E495" s="10">
        <v>43039</v>
      </c>
    </row>
    <row r="496" spans="1:5" x14ac:dyDescent="0.35">
      <c r="A496">
        <f t="shared" si="9"/>
        <v>79</v>
      </c>
      <c r="B496" t="s">
        <v>503</v>
      </c>
      <c r="C496" t="s">
        <v>500</v>
      </c>
      <c r="D496" s="5">
        <v>1389</v>
      </c>
      <c r="E496" s="10">
        <v>43039</v>
      </c>
    </row>
    <row r="497" spans="1:5" x14ac:dyDescent="0.35">
      <c r="A497">
        <f t="shared" si="9"/>
        <v>80</v>
      </c>
      <c r="B497" t="s">
        <v>497</v>
      </c>
      <c r="C497" t="s">
        <v>502</v>
      </c>
      <c r="D497" s="5">
        <v>0</v>
      </c>
      <c r="E497" s="10">
        <v>43039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6DD2-AC63-46BF-95BE-706472461990}">
  <dimension ref="A2:U43"/>
  <sheetViews>
    <sheetView zoomScale="59" zoomScaleNormal="59" workbookViewId="0">
      <selection activeCell="Q17" sqref="Q17"/>
    </sheetView>
  </sheetViews>
  <sheetFormatPr defaultRowHeight="14.5" x14ac:dyDescent="0.35"/>
  <cols>
    <col min="1" max="1" width="10.08984375" bestFit="1" customWidth="1"/>
    <col min="2" max="2" width="15.81640625" bestFit="1" customWidth="1"/>
    <col min="4" max="4" width="22.08984375" bestFit="1" customWidth="1"/>
    <col min="5" max="5" width="14.08984375" bestFit="1" customWidth="1"/>
    <col min="6" max="9" width="13.1796875" bestFit="1" customWidth="1"/>
    <col min="10" max="10" width="12.453125" bestFit="1" customWidth="1"/>
    <col min="12" max="12" width="17.453125" bestFit="1" customWidth="1"/>
    <col min="13" max="13" width="13.7265625" bestFit="1" customWidth="1"/>
    <col min="14" max="16" width="17.453125" bestFit="1" customWidth="1"/>
    <col min="17" max="17" width="14.36328125" bestFit="1" customWidth="1"/>
    <col min="19" max="20" width="18" bestFit="1" customWidth="1"/>
  </cols>
  <sheetData>
    <row r="2" spans="1:17" x14ac:dyDescent="0.35">
      <c r="A2" t="s">
        <v>525</v>
      </c>
      <c r="D2" t="s">
        <v>526</v>
      </c>
    </row>
    <row r="3" spans="1:17" x14ac:dyDescent="0.35">
      <c r="A3" s="7" t="s">
        <v>511</v>
      </c>
      <c r="B3" t="s">
        <v>516</v>
      </c>
      <c r="D3" s="7" t="s">
        <v>513</v>
      </c>
      <c r="E3" t="s">
        <v>516</v>
      </c>
    </row>
    <row r="4" spans="1:17" x14ac:dyDescent="0.35">
      <c r="A4" s="8" t="s">
        <v>497</v>
      </c>
      <c r="B4" s="5">
        <v>149204</v>
      </c>
      <c r="D4" s="8" t="s">
        <v>504</v>
      </c>
      <c r="E4" s="5">
        <v>114334</v>
      </c>
    </row>
    <row r="5" spans="1:17" x14ac:dyDescent="0.35">
      <c r="A5" s="8" t="s">
        <v>503</v>
      </c>
      <c r="B5" s="5">
        <v>116619</v>
      </c>
      <c r="D5" s="8" t="s">
        <v>498</v>
      </c>
      <c r="E5" s="5">
        <v>110433</v>
      </c>
    </row>
    <row r="6" spans="1:17" x14ac:dyDescent="0.35">
      <c r="A6" s="8" t="s">
        <v>499</v>
      </c>
      <c r="B6" s="5">
        <v>105948</v>
      </c>
      <c r="D6" s="8" t="s">
        <v>502</v>
      </c>
      <c r="E6" s="5">
        <v>110141</v>
      </c>
    </row>
    <row r="7" spans="1:17" x14ac:dyDescent="0.35">
      <c r="A7" s="8" t="s">
        <v>501</v>
      </c>
      <c r="B7" s="5">
        <v>69751</v>
      </c>
      <c r="D7" s="8" t="s">
        <v>500</v>
      </c>
      <c r="E7" s="5">
        <v>106614</v>
      </c>
    </row>
    <row r="8" spans="1:17" x14ac:dyDescent="0.35">
      <c r="A8" s="8" t="s">
        <v>510</v>
      </c>
      <c r="B8" s="5">
        <v>441522</v>
      </c>
      <c r="D8" s="8" t="s">
        <v>510</v>
      </c>
      <c r="E8" s="5">
        <v>441522</v>
      </c>
    </row>
    <row r="10" spans="1:17" x14ac:dyDescent="0.35">
      <c r="E10" t="s">
        <v>524</v>
      </c>
    </row>
    <row r="11" spans="1:17" x14ac:dyDescent="0.35">
      <c r="A11" s="7" t="s">
        <v>515</v>
      </c>
      <c r="B11" t="s">
        <v>514</v>
      </c>
      <c r="D11" s="7" t="s">
        <v>512</v>
      </c>
      <c r="E11" s="7" t="s">
        <v>511</v>
      </c>
    </row>
    <row r="12" spans="1:17" x14ac:dyDescent="0.35">
      <c r="A12" s="9">
        <v>43009</v>
      </c>
      <c r="B12" s="5">
        <v>14883</v>
      </c>
      <c r="D12" s="7" t="s">
        <v>513</v>
      </c>
      <c r="E12" t="s">
        <v>501</v>
      </c>
      <c r="F12" t="s">
        <v>503</v>
      </c>
      <c r="G12" t="s">
        <v>497</v>
      </c>
      <c r="H12" t="s">
        <v>499</v>
      </c>
      <c r="I12" t="s">
        <v>510</v>
      </c>
    </row>
    <row r="13" spans="1:17" x14ac:dyDescent="0.35">
      <c r="A13" s="9">
        <v>43010</v>
      </c>
      <c r="B13" s="5">
        <v>15539</v>
      </c>
      <c r="D13" s="8" t="s">
        <v>504</v>
      </c>
      <c r="E13" s="5">
        <v>16715</v>
      </c>
      <c r="F13" s="5">
        <v>33216</v>
      </c>
      <c r="G13" s="5">
        <v>40079</v>
      </c>
      <c r="H13" s="5">
        <v>24324</v>
      </c>
      <c r="I13" s="5">
        <v>114334</v>
      </c>
    </row>
    <row r="14" spans="1:17" x14ac:dyDescent="0.35">
      <c r="A14" s="9">
        <v>43011</v>
      </c>
      <c r="B14" s="5">
        <v>12707</v>
      </c>
      <c r="D14" s="8" t="s">
        <v>498</v>
      </c>
      <c r="E14" s="5">
        <v>18617</v>
      </c>
      <c r="F14" s="5">
        <v>29273</v>
      </c>
      <c r="G14" s="5">
        <v>34208</v>
      </c>
      <c r="H14" s="5">
        <v>28335</v>
      </c>
      <c r="I14" s="5">
        <v>110433</v>
      </c>
    </row>
    <row r="15" spans="1:17" x14ac:dyDescent="0.35">
      <c r="A15" s="9">
        <v>43012</v>
      </c>
      <c r="B15" s="5">
        <v>15074</v>
      </c>
      <c r="D15" s="8" t="s">
        <v>502</v>
      </c>
      <c r="E15" s="5">
        <v>16311</v>
      </c>
      <c r="F15" s="5">
        <v>26250</v>
      </c>
      <c r="G15" s="5">
        <v>41694</v>
      </c>
      <c r="H15" s="5">
        <v>25886</v>
      </c>
      <c r="I15" s="5">
        <v>110141</v>
      </c>
    </row>
    <row r="16" spans="1:17" x14ac:dyDescent="0.35">
      <c r="A16" s="9">
        <v>43013</v>
      </c>
      <c r="B16" s="5">
        <v>17198</v>
      </c>
      <c r="D16" s="8" t="s">
        <v>500</v>
      </c>
      <c r="E16" s="5">
        <v>18108</v>
      </c>
      <c r="F16" s="5">
        <v>27880</v>
      </c>
      <c r="G16" s="5">
        <v>33223</v>
      </c>
      <c r="H16" s="5">
        <v>27403</v>
      </c>
      <c r="I16" s="5">
        <v>106614</v>
      </c>
      <c r="N16" s="7" t="s">
        <v>511</v>
      </c>
      <c r="O16" s="2" t="s">
        <v>519</v>
      </c>
      <c r="P16" s="2" t="s">
        <v>518</v>
      </c>
      <c r="Q16" s="24">
        <f>MAX(O17:O20)</f>
        <v>149204</v>
      </c>
    </row>
    <row r="17" spans="1:21" x14ac:dyDescent="0.35">
      <c r="A17" s="9">
        <v>43014</v>
      </c>
      <c r="B17" s="5">
        <v>12568</v>
      </c>
      <c r="D17" s="8" t="s">
        <v>510</v>
      </c>
      <c r="E17" s="5">
        <v>69751</v>
      </c>
      <c r="F17" s="5">
        <v>116619</v>
      </c>
      <c r="G17" s="5">
        <v>149204</v>
      </c>
      <c r="H17" s="5">
        <v>105948</v>
      </c>
      <c r="I17" s="5">
        <v>441522</v>
      </c>
      <c r="N17" s="8" t="s">
        <v>497</v>
      </c>
      <c r="O17" s="5">
        <v>149204</v>
      </c>
      <c r="P17" s="21">
        <v>0.33793106572265935</v>
      </c>
      <c r="Q17" s="21">
        <f>MAX(P17:P20)</f>
        <v>0.33793106572265935</v>
      </c>
    </row>
    <row r="18" spans="1:21" x14ac:dyDescent="0.35">
      <c r="A18" s="9">
        <v>43015</v>
      </c>
      <c r="B18" s="5">
        <v>13381</v>
      </c>
      <c r="N18" s="8" t="s">
        <v>503</v>
      </c>
      <c r="O18" s="5">
        <v>116619</v>
      </c>
      <c r="P18" s="21">
        <v>0.26412953374916764</v>
      </c>
      <c r="Q18" t="s">
        <v>521</v>
      </c>
    </row>
    <row r="19" spans="1:21" x14ac:dyDescent="0.35">
      <c r="A19" s="9">
        <v>43016</v>
      </c>
      <c r="B19" s="5">
        <v>16149</v>
      </c>
      <c r="E19" t="s">
        <v>516</v>
      </c>
      <c r="G19" s="24">
        <f>GETPIVOTDATA("SALES AMOUNT  ",$E$19)</f>
        <v>441522</v>
      </c>
      <c r="N19" s="8" t="s">
        <v>499</v>
      </c>
      <c r="O19" s="5">
        <v>105948</v>
      </c>
      <c r="P19" s="21">
        <v>0.23996086265237065</v>
      </c>
    </row>
    <row r="20" spans="1:21" x14ac:dyDescent="0.35">
      <c r="A20" s="9">
        <v>43017</v>
      </c>
      <c r="B20" s="5">
        <v>15012</v>
      </c>
      <c r="E20" s="5">
        <v>441522</v>
      </c>
      <c r="N20" s="8" t="s">
        <v>501</v>
      </c>
      <c r="O20" s="5">
        <v>69751</v>
      </c>
      <c r="P20" s="21">
        <v>0.15797853787580235</v>
      </c>
    </row>
    <row r="21" spans="1:21" x14ac:dyDescent="0.35">
      <c r="A21" s="9">
        <v>43018</v>
      </c>
      <c r="B21" s="5">
        <v>17762</v>
      </c>
      <c r="E21" t="s">
        <v>522</v>
      </c>
      <c r="H21" s="12"/>
      <c r="I21" s="13"/>
      <c r="J21" s="14"/>
      <c r="N21" s="8" t="s">
        <v>510</v>
      </c>
      <c r="O21" s="5">
        <v>441522</v>
      </c>
      <c r="P21" s="21">
        <v>1</v>
      </c>
    </row>
    <row r="22" spans="1:21" x14ac:dyDescent="0.35">
      <c r="A22" s="9">
        <v>43019</v>
      </c>
      <c r="B22" s="5">
        <v>15674</v>
      </c>
      <c r="H22" s="15"/>
      <c r="I22" s="16"/>
      <c r="J22" s="17"/>
    </row>
    <row r="23" spans="1:21" x14ac:dyDescent="0.35">
      <c r="A23" s="9">
        <v>43020</v>
      </c>
      <c r="B23" s="5">
        <v>16568</v>
      </c>
      <c r="E23" t="s">
        <v>517</v>
      </c>
      <c r="G23">
        <f>GETPIVOTDATA("SALES AMOUNT  ",$E$23)</f>
        <v>496</v>
      </c>
      <c r="H23" s="15"/>
      <c r="I23" s="16"/>
      <c r="J23" s="17"/>
    </row>
    <row r="24" spans="1:21" x14ac:dyDescent="0.35">
      <c r="A24" s="9">
        <v>43021</v>
      </c>
      <c r="B24" s="5">
        <v>12414</v>
      </c>
      <c r="E24" s="27">
        <v>496</v>
      </c>
      <c r="H24" s="15"/>
      <c r="I24" s="16"/>
      <c r="J24" s="17"/>
      <c r="L24" t="s">
        <v>527</v>
      </c>
    </row>
    <row r="25" spans="1:21" x14ac:dyDescent="0.35">
      <c r="A25" s="9">
        <v>43022</v>
      </c>
      <c r="B25" s="5">
        <v>15618</v>
      </c>
      <c r="E25" t="s">
        <v>523</v>
      </c>
      <c r="H25" s="15"/>
      <c r="I25" s="16"/>
      <c r="J25" s="17"/>
    </row>
    <row r="26" spans="1:21" x14ac:dyDescent="0.35">
      <c r="A26" s="9">
        <v>43023</v>
      </c>
      <c r="B26" s="5">
        <v>15724</v>
      </c>
      <c r="H26" s="15"/>
      <c r="I26" s="16"/>
      <c r="J26" s="17"/>
    </row>
    <row r="27" spans="1:21" x14ac:dyDescent="0.35">
      <c r="A27" s="9">
        <v>43024</v>
      </c>
      <c r="B27" s="5">
        <v>13177</v>
      </c>
      <c r="H27" s="15"/>
      <c r="I27" s="16"/>
      <c r="J27" s="17"/>
    </row>
    <row r="28" spans="1:21" x14ac:dyDescent="0.35">
      <c r="A28" s="9">
        <v>43025</v>
      </c>
      <c r="B28" s="5">
        <v>15378</v>
      </c>
      <c r="H28" s="15"/>
      <c r="I28" s="16"/>
      <c r="J28" s="17"/>
    </row>
    <row r="29" spans="1:21" x14ac:dyDescent="0.35">
      <c r="A29" s="9">
        <v>43026</v>
      </c>
      <c r="B29" s="5">
        <v>16759</v>
      </c>
      <c r="H29" s="15"/>
      <c r="I29" s="16"/>
      <c r="J29" s="17"/>
    </row>
    <row r="30" spans="1:21" x14ac:dyDescent="0.35">
      <c r="A30" s="9">
        <v>43027</v>
      </c>
      <c r="B30" s="5">
        <v>6222</v>
      </c>
      <c r="H30" s="15"/>
      <c r="I30" s="16"/>
      <c r="J30" s="17"/>
    </row>
    <row r="31" spans="1:21" x14ac:dyDescent="0.35">
      <c r="A31" s="9">
        <v>43028</v>
      </c>
      <c r="B31" s="5">
        <v>13710</v>
      </c>
      <c r="H31" s="15"/>
      <c r="I31" s="16"/>
      <c r="J31" s="17"/>
      <c r="S31" s="2"/>
    </row>
    <row r="32" spans="1:21" x14ac:dyDescent="0.35">
      <c r="A32" s="9">
        <v>43029</v>
      </c>
      <c r="B32" s="5">
        <v>13242</v>
      </c>
      <c r="H32" s="15"/>
      <c r="I32" s="16"/>
      <c r="J32" s="17"/>
      <c r="S32" s="7" t="s">
        <v>511</v>
      </c>
      <c r="T32" s="2" t="s">
        <v>519</v>
      </c>
      <c r="U32" s="2" t="s">
        <v>518</v>
      </c>
    </row>
    <row r="33" spans="1:21" x14ac:dyDescent="0.35">
      <c r="A33" s="9">
        <v>43030</v>
      </c>
      <c r="B33" s="5">
        <v>15319</v>
      </c>
      <c r="H33" s="15"/>
      <c r="I33" s="16"/>
      <c r="J33" s="17"/>
      <c r="O33" t="s">
        <v>520</v>
      </c>
      <c r="S33" s="8" t="s">
        <v>504</v>
      </c>
      <c r="T33" s="5">
        <v>114334</v>
      </c>
      <c r="U33" s="21">
        <v>0.25895425369517261</v>
      </c>
    </row>
    <row r="34" spans="1:21" x14ac:dyDescent="0.35">
      <c r="A34" s="9">
        <v>43031</v>
      </c>
      <c r="B34" s="5">
        <v>14696</v>
      </c>
      <c r="H34" s="15"/>
      <c r="I34" s="16"/>
      <c r="J34" s="17"/>
      <c r="S34" s="8" t="s">
        <v>498</v>
      </c>
      <c r="T34" s="5">
        <v>110433</v>
      </c>
      <c r="U34" s="21">
        <v>0.25011890687213773</v>
      </c>
    </row>
    <row r="35" spans="1:21" x14ac:dyDescent="0.35">
      <c r="A35" s="9">
        <v>43032</v>
      </c>
      <c r="B35" s="5">
        <v>10607</v>
      </c>
      <c r="H35" s="15"/>
      <c r="I35" s="16"/>
      <c r="J35" s="17"/>
      <c r="S35" s="8" t="s">
        <v>502</v>
      </c>
      <c r="T35" s="5">
        <v>110141</v>
      </c>
      <c r="U35" s="21">
        <v>0.24945755817377163</v>
      </c>
    </row>
    <row r="36" spans="1:21" x14ac:dyDescent="0.35">
      <c r="A36" s="9">
        <v>43033</v>
      </c>
      <c r="B36" s="5">
        <v>15468</v>
      </c>
      <c r="H36" s="15"/>
      <c r="I36" s="16"/>
      <c r="J36" s="17"/>
      <c r="S36" s="8" t="s">
        <v>500</v>
      </c>
      <c r="T36" s="5">
        <v>106614</v>
      </c>
      <c r="U36" s="21">
        <v>0.24146928125891801</v>
      </c>
    </row>
    <row r="37" spans="1:21" x14ac:dyDescent="0.35">
      <c r="A37" s="9">
        <v>43034</v>
      </c>
      <c r="B37" s="5">
        <v>15583</v>
      </c>
      <c r="H37" s="15"/>
      <c r="I37" s="16"/>
      <c r="J37" s="17"/>
      <c r="S37" s="8" t="s">
        <v>510</v>
      </c>
      <c r="T37" s="5">
        <v>441522</v>
      </c>
      <c r="U37" s="21">
        <v>1</v>
      </c>
    </row>
    <row r="38" spans="1:21" x14ac:dyDescent="0.35">
      <c r="A38" s="9">
        <v>43035</v>
      </c>
      <c r="B38" s="5">
        <v>12433</v>
      </c>
      <c r="H38" s="18"/>
      <c r="I38" s="19"/>
      <c r="J38" s="20"/>
    </row>
    <row r="39" spans="1:21" x14ac:dyDescent="0.35">
      <c r="A39" s="9">
        <v>43036</v>
      </c>
      <c r="B39" s="5">
        <v>17721</v>
      </c>
      <c r="T39" t="str">
        <f>INDEX(S33:S36,MATCH(MAX(T33:T36),T33:T36,0))</f>
        <v>Alice</v>
      </c>
    </row>
    <row r="40" spans="1:21" x14ac:dyDescent="0.35">
      <c r="A40" s="9">
        <v>43037</v>
      </c>
      <c r="B40" s="5">
        <v>11466</v>
      </c>
    </row>
    <row r="41" spans="1:21" x14ac:dyDescent="0.35">
      <c r="A41" s="9">
        <v>43038</v>
      </c>
      <c r="B41" s="5">
        <v>9616</v>
      </c>
    </row>
    <row r="42" spans="1:21" x14ac:dyDescent="0.35">
      <c r="A42" s="9">
        <v>43039</v>
      </c>
      <c r="B42" s="5">
        <v>13854</v>
      </c>
    </row>
    <row r="43" spans="1:21" x14ac:dyDescent="0.35">
      <c r="A43" s="11" t="s">
        <v>510</v>
      </c>
      <c r="B43" s="5">
        <v>441522</v>
      </c>
    </row>
  </sheetData>
  <pageMargins left="0.511811024" right="0.511811024" top="0.78740157499999996" bottom="0.78740157499999996" header="0.31496062000000002" footer="0.31496062000000002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8A6F-7712-4BC4-9B0C-13D619EF0350}">
  <dimension ref="A1"/>
  <sheetViews>
    <sheetView showGridLines="0" showRowColHeaders="0" tabSelected="1" zoomScale="50" zoomScaleNormal="50" workbookViewId="0">
      <selection activeCell="AL23" sqref="AL23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3</vt:i4>
      </vt:variant>
    </vt:vector>
  </HeadingPairs>
  <TitlesOfParts>
    <vt:vector size="9" baseType="lpstr">
      <vt:lpstr>INTRO</vt:lpstr>
      <vt:lpstr>DADOS BRUTOS</vt:lpstr>
      <vt:lpstr>LIMPEZA E PREPARAÇÃO</vt:lpstr>
      <vt:lpstr>Dados Tratados</vt:lpstr>
      <vt:lpstr>TABELAS DINÂMICAS</vt:lpstr>
      <vt:lpstr>DASH</vt:lpstr>
      <vt:lpstr>_01_10_2017</vt:lpstr>
      <vt:lpstr>Alice</vt:lpstr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Prashan Karunaratne</dc:creator>
  <cp:lastModifiedBy>GOSMILD JACKSON GOSMILD</cp:lastModifiedBy>
  <cp:lastPrinted>2017-11-05T04:32:04Z</cp:lastPrinted>
  <dcterms:created xsi:type="dcterms:W3CDTF">2017-08-25T02:34:34Z</dcterms:created>
  <dcterms:modified xsi:type="dcterms:W3CDTF">2026-09-13T16:54:05Z</dcterms:modified>
</cp:coreProperties>
</file>